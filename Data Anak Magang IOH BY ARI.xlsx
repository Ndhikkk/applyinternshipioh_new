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Anak Magang General" sheetId="1" r:id="rId5"/>
    <sheet state="visible" name="Central Java" sheetId="2" r:id="rId6"/>
    <sheet state="visible" name="Onboard" sheetId="3" r:id="rId7"/>
    <sheet state="visible" name="Data Interview" sheetId="4" r:id="rId8"/>
    <sheet state="visible" name="Portal-Portal" sheetId="5" r:id="rId9"/>
  </sheets>
  <definedNames>
    <definedName hidden="1" localSheetId="0" name="_xlnm._FilterDatabase">'Data Anak Magang General'!$A$2:$K$120</definedName>
  </definedNames>
  <calcPr/>
</workbook>
</file>

<file path=xl/sharedStrings.xml><?xml version="1.0" encoding="utf-8"?>
<sst xmlns="http://schemas.openxmlformats.org/spreadsheetml/2006/main" count="1392" uniqueCount="419">
  <si>
    <t>No</t>
  </si>
  <si>
    <t>Nama</t>
  </si>
  <si>
    <t>Divisi</t>
  </si>
  <si>
    <t>Kampus</t>
  </si>
  <si>
    <t>Jurusan</t>
  </si>
  <si>
    <t>Circle</t>
  </si>
  <si>
    <t>Nomor HP</t>
  </si>
  <si>
    <t>Periode Magang</t>
  </si>
  <si>
    <t>Status Magang</t>
  </si>
  <si>
    <t>Universitas</t>
  </si>
  <si>
    <t>Tanggal Interview</t>
  </si>
  <si>
    <t>Waktu Interview</t>
  </si>
  <si>
    <t>Suket Penerimaan</t>
  </si>
  <si>
    <t>Interview Tahap 1</t>
  </si>
  <si>
    <t>Suket Selesai</t>
  </si>
  <si>
    <t>Interview User</t>
  </si>
  <si>
    <t>Sertif Selesai</t>
  </si>
  <si>
    <t>Keterangan</t>
  </si>
  <si>
    <t xml:space="preserve">Adelia Cipta Maharani </t>
  </si>
  <si>
    <t>Postpaid</t>
  </si>
  <si>
    <t>Universitas Islam Sultan Agung</t>
  </si>
  <si>
    <t xml:space="preserve">Angelina Widya Asih </t>
  </si>
  <si>
    <t>Feby Amelia</t>
  </si>
  <si>
    <t>Akuntansi</t>
  </si>
  <si>
    <t>0821-1578-0825</t>
  </si>
  <si>
    <t xml:space="preserve">Universitas Dian Nuswantoro </t>
  </si>
  <si>
    <t xml:space="preserve">Ilmu Komunikasi </t>
  </si>
  <si>
    <t>Post Paid</t>
  </si>
  <si>
    <t>Mb. Lia</t>
  </si>
  <si>
    <t>13.00</t>
  </si>
  <si>
    <t>Pemateri 1</t>
  </si>
  <si>
    <t>Anggun Nesta Kirana</t>
  </si>
  <si>
    <t>B2B</t>
  </si>
  <si>
    <t>Pak Fatony</t>
  </si>
  <si>
    <t>Pemateri 2</t>
  </si>
  <si>
    <t>Lolos</t>
  </si>
  <si>
    <t>Any Alfiatun Masruro</t>
  </si>
  <si>
    <t>Central Java</t>
  </si>
  <si>
    <t>Bp. Restu Setiansyah</t>
  </si>
  <si>
    <t>13 April - 13 Agustus 2026.</t>
  </si>
  <si>
    <t>Sambutan</t>
  </si>
  <si>
    <t>Cintia Ayu Ambarsari</t>
  </si>
  <si>
    <t>Completed</t>
  </si>
  <si>
    <t>ANNISA CARDINA KAMILIA AZIZ</t>
  </si>
  <si>
    <t>Ms. Nanda</t>
  </si>
  <si>
    <t>Sharing Session</t>
  </si>
  <si>
    <t>Sudah Dikirim</t>
  </si>
  <si>
    <t>13.20</t>
  </si>
  <si>
    <t>Lin Hapsari</t>
  </si>
  <si>
    <t>Mb. Vika</t>
  </si>
  <si>
    <t>Safety Induction</t>
  </si>
  <si>
    <t>Adhitiani Dinda Lestari</t>
  </si>
  <si>
    <t>Nayla Aisyah Fitria</t>
  </si>
  <si>
    <t>Capability Building and Training</t>
  </si>
  <si>
    <t>Universitas Negeri Semarang</t>
  </si>
  <si>
    <t>Manajemen</t>
  </si>
  <si>
    <t>19 Juni – 31 Juli 2026.</t>
  </si>
  <si>
    <t>Zackyannafi Nashru Romadhoni</t>
  </si>
  <si>
    <t>CB IT</t>
  </si>
  <si>
    <t xml:space="preserve">LUSI CANTIKA MARDIANA </t>
  </si>
  <si>
    <t>Vicky Galih Pamungkas</t>
  </si>
  <si>
    <t xml:space="preserve">Abdillah Fattah </t>
  </si>
  <si>
    <t>IT Technical</t>
  </si>
  <si>
    <t>Politeknik Negeri Semarang</t>
  </si>
  <si>
    <t>Jadi, Total Keseluruhan terdapat 29 orang yang akan mengikuti kegiatan tersebut.</t>
  </si>
  <si>
    <t>Teknik Telekomunikasi</t>
  </si>
  <si>
    <t>Dzaky Azhar Rafif Saepudin</t>
  </si>
  <si>
    <t>2 februari - 31 agustus</t>
  </si>
  <si>
    <t>Marcom</t>
  </si>
  <si>
    <t>Aktive</t>
  </si>
  <si>
    <t>Icha Nadila</t>
  </si>
  <si>
    <t>Achmad Naufal Fikri</t>
  </si>
  <si>
    <t>Universitas Diponegoro</t>
  </si>
  <si>
    <t>1 juli - 1 september</t>
  </si>
  <si>
    <t xml:space="preserve">Annisa Cardina </t>
  </si>
  <si>
    <t>Lusi Cantika Mardiana</t>
  </si>
  <si>
    <t>Andi Setiawan Putra</t>
  </si>
  <si>
    <t>Alfina Ilfa Zahiya</t>
  </si>
  <si>
    <t>IT Support Regional</t>
  </si>
  <si>
    <t>Happy Ayu Shofiyana Putri</t>
  </si>
  <si>
    <t>Direct Sales Executive (DSE)</t>
  </si>
  <si>
    <t>Rheza Rezki Maulana</t>
  </si>
  <si>
    <t>Rakha Ilman Tazakka</t>
  </si>
  <si>
    <t>Manajemen Pemasaran</t>
  </si>
  <si>
    <t>Carissa Risqika Ardiningrum</t>
  </si>
  <si>
    <t>Post Paid /menyesuaikan</t>
  </si>
  <si>
    <t>13.40</t>
  </si>
  <si>
    <t>18 Agustus - 31 Desember</t>
  </si>
  <si>
    <t>Muhammad Ikhsan Abdurahman</t>
  </si>
  <si>
    <t>12/08/26 (menyesuaikan sini) - 4 bulan</t>
  </si>
  <si>
    <t>Dimas Rafael</t>
  </si>
  <si>
    <t>3.52.24.2.03</t>
  </si>
  <si>
    <t>Johans Arjuna Setiawan</t>
  </si>
  <si>
    <t>M. Agung Ari</t>
  </si>
  <si>
    <t>CB</t>
  </si>
  <si>
    <t>Administrasi Bisnis</t>
  </si>
  <si>
    <t xml:space="preserve">Markom </t>
  </si>
  <si>
    <t>18 Agustus - 31 Desember 2026</t>
  </si>
  <si>
    <t>Olivia Calista S.</t>
  </si>
  <si>
    <t>14.00</t>
  </si>
  <si>
    <t>3.51.24.0.04</t>
  </si>
  <si>
    <t xml:space="preserve">Anticca Eishtri Setyani </t>
  </si>
  <si>
    <t>8 juli - 8 Agustus 2026</t>
  </si>
  <si>
    <t xml:space="preserve">FWA </t>
  </si>
  <si>
    <t>0813-4856-9519</t>
  </si>
  <si>
    <t>9 April - 10 Agustus 2026.</t>
  </si>
  <si>
    <t>Post Paid? menyesuaikan</t>
  </si>
  <si>
    <t>14.20</t>
  </si>
  <si>
    <t>Universitas Islam Negeri Walisongo Semarang</t>
  </si>
  <si>
    <t>9 September sampai 9 Desember 2026.</t>
  </si>
  <si>
    <t xml:space="preserve">Muhammad Ilham </t>
  </si>
  <si>
    <t>Belum Diproses</t>
  </si>
  <si>
    <t>Arsyad Hudaya</t>
  </si>
  <si>
    <t>Marketing Communication</t>
  </si>
  <si>
    <t>Telkom University</t>
  </si>
  <si>
    <t>D3 Manajemen Pemasaran</t>
  </si>
  <si>
    <t>18 agustus - 31 desember 2026</t>
  </si>
  <si>
    <t>Digital Business</t>
  </si>
  <si>
    <t>Markom</t>
  </si>
  <si>
    <t xml:space="preserve">DESY SECYLIA FLOWERINA </t>
  </si>
  <si>
    <t>14.40 (online)</t>
  </si>
  <si>
    <t>Tidak Lolos</t>
  </si>
  <si>
    <t>15 April - 18 Agustus 2026.</t>
  </si>
  <si>
    <t>1 minggu kedepan, maksimal ngabarin masuk 3 hari</t>
  </si>
  <si>
    <t>Diandra Yusa Azzahra</t>
  </si>
  <si>
    <t>B2b</t>
  </si>
  <si>
    <t>S1 Ekonomi Islam</t>
  </si>
  <si>
    <t>29 juni - 14 agustus</t>
  </si>
  <si>
    <t>Sedang Diproses</t>
  </si>
  <si>
    <t>D3 Administrasi Bisnis</t>
  </si>
  <si>
    <t>sama dimas</t>
  </si>
  <si>
    <t>Dzulfikar Maula Al-Farizi</t>
  </si>
  <si>
    <t>Eky Eryda Inviana</t>
  </si>
  <si>
    <t>EVRIEL SAUSANIA BAHRI</t>
  </si>
  <si>
    <t>Pendidikan Administrasi Perkantoran</t>
  </si>
  <si>
    <t>29 Juni - 31 Juli 2026.</t>
  </si>
  <si>
    <t>15.25</t>
  </si>
  <si>
    <t>Faiz Abdurrahman Rizqy</t>
  </si>
  <si>
    <t>sales and marketing team</t>
  </si>
  <si>
    <t>UIN Walisongo Semarang</t>
  </si>
  <si>
    <t xml:space="preserve">17-agustus - 17 desember </t>
  </si>
  <si>
    <t>22 Juni - 31 Juli 2026.</t>
  </si>
  <si>
    <t>Talitha Estiningtyas</t>
  </si>
  <si>
    <t>Fareza Ainur Rochim</t>
  </si>
  <si>
    <t>Pendidikan Teknik Informatika dan Komputer</t>
  </si>
  <si>
    <t xml:space="preserve">Sosmed  </t>
  </si>
  <si>
    <t>5 Juni – 5 Agustus 2026.</t>
  </si>
  <si>
    <t>15.35</t>
  </si>
  <si>
    <t xml:space="preserve">Fidia Nasywa Harsika </t>
  </si>
  <si>
    <t>Informasi dan Humas</t>
  </si>
  <si>
    <t>Devita Maharani</t>
  </si>
  <si>
    <t>Goldis Vindasari</t>
  </si>
  <si>
    <t>22 Juni – 31 Juli 2026.</t>
  </si>
  <si>
    <t>Hidvicaesar Ayangfaana Hafidz</t>
  </si>
  <si>
    <t>IT</t>
  </si>
  <si>
    <t>Politeknik negeri Semarang</t>
  </si>
  <si>
    <t>1 oktober - 25 desember</t>
  </si>
  <si>
    <t>Chalida Abdat</t>
  </si>
  <si>
    <t>Hudzaifah As Sajjad</t>
  </si>
  <si>
    <t>Sales and Marketing Team</t>
  </si>
  <si>
    <t>15 Juni - 31 Juli 2026.</t>
  </si>
  <si>
    <t>Teknik Informatika</t>
  </si>
  <si>
    <t>Inayanida Nurfatikha Fiandi</t>
  </si>
  <si>
    <t>postpaid</t>
  </si>
  <si>
    <t>Hannif Nur Ramadhan</t>
  </si>
  <si>
    <t>Isna Putri Saida</t>
  </si>
  <si>
    <t>Customer Service</t>
  </si>
  <si>
    <t>Universitas Dian Nuswantoro</t>
  </si>
  <si>
    <t>Ilmu Komunikasi</t>
  </si>
  <si>
    <t>15 Juni – 16 Oktober 2026.</t>
  </si>
  <si>
    <t>Marketing Manajemen</t>
  </si>
  <si>
    <t>Markom (besok reqin ke DSE)</t>
  </si>
  <si>
    <t>Keitaro Mawla Sheehan Katili</t>
  </si>
  <si>
    <t>13.30</t>
  </si>
  <si>
    <t>Administrasi Publik</t>
  </si>
  <si>
    <t>10 agustus - 10 november 26</t>
  </si>
  <si>
    <t xml:space="preserve">Kurnia Qoniatul Islamiyah </t>
  </si>
  <si>
    <t>SKI</t>
  </si>
  <si>
    <t>Grace Elia Marlina Sitorus</t>
  </si>
  <si>
    <t>Latif Saputra</t>
  </si>
  <si>
    <t>Sains dan Matematika</t>
  </si>
  <si>
    <t>Terkait data</t>
  </si>
  <si>
    <t>1 sept - 30 nov 26</t>
  </si>
  <si>
    <t>Martein Viellarino Cortiaz</t>
  </si>
  <si>
    <t>9 September - 9 Desember 2026.</t>
  </si>
  <si>
    <t>Finance</t>
  </si>
  <si>
    <t>Mochamad Dimas Arifin</t>
  </si>
  <si>
    <t>14.50 (online)</t>
  </si>
  <si>
    <t>Muhamad Agung Ari Wibowo</t>
  </si>
  <si>
    <t>Sales FWA</t>
  </si>
  <si>
    <t>Muhammad Dzakwan Aryosatyo</t>
  </si>
  <si>
    <t>Direct Sales Executive</t>
  </si>
  <si>
    <t>20 qgustus - 20 november</t>
  </si>
  <si>
    <t>Fahmi Ali Zaki</t>
  </si>
  <si>
    <t>Nisrina Izdihar</t>
  </si>
  <si>
    <t>2 Februari - 31 Agustus</t>
  </si>
  <si>
    <t>15.15 (online)</t>
  </si>
  <si>
    <t>Prabaswara Febrian Winandika</t>
  </si>
  <si>
    <t>Technology Region Central Java</t>
  </si>
  <si>
    <t>Institut Teknelogi Sepuluh Nopember</t>
  </si>
  <si>
    <t>Teknologi Informasi</t>
  </si>
  <si>
    <t>10/08/2026 - 10/11/26</t>
  </si>
  <si>
    <t>Muhammad Abiyan Hilal</t>
  </si>
  <si>
    <t>6 Juli sampai 28 Agustus 2026.</t>
  </si>
  <si>
    <t>Rasya Andhika Hanggara</t>
  </si>
  <si>
    <t>15.35 (online)</t>
  </si>
  <si>
    <t>29 Juni - 14 Agustus 2026.</t>
  </si>
  <si>
    <t>01-08 sampai 01-11</t>
  </si>
  <si>
    <t xml:space="preserve">Rian Hidayat </t>
  </si>
  <si>
    <t>FWA</t>
  </si>
  <si>
    <t>Evelyn Aqila Fidelia</t>
  </si>
  <si>
    <t>Risa Ajeng Wardani</t>
  </si>
  <si>
    <t>belum memilih</t>
  </si>
  <si>
    <t>3 agustus - 3 Nove 2026</t>
  </si>
  <si>
    <t>Sahila Sausan Kamila</t>
  </si>
  <si>
    <t>Tegar Aji Pangestu</t>
  </si>
  <si>
    <t>Salfa Andhika Himawan</t>
  </si>
  <si>
    <t>IT /Elang IT</t>
  </si>
  <si>
    <t>01/09/26 -03/12/26</t>
  </si>
  <si>
    <t>Salma Widyasari</t>
  </si>
  <si>
    <t>8 Juli - 8 Agustus 2026</t>
  </si>
  <si>
    <t>Muhamad Panji Satrio</t>
  </si>
  <si>
    <t>17 Juni – 31 Juli 2026.</t>
  </si>
  <si>
    <t>Finance (reqomendasiin DSE)</t>
  </si>
  <si>
    <t>Shafa Amanda Putri Ralistya</t>
  </si>
  <si>
    <t>10/08/26-10/09/26</t>
  </si>
  <si>
    <t xml:space="preserve">Tazkia Eva Qurrota Aini </t>
  </si>
  <si>
    <t>MUHAMMAD ARIEL SAPUTRA</t>
  </si>
  <si>
    <t>Yulia Nur Fadhilah</t>
  </si>
  <si>
    <t>Universitas BPD Semarang</t>
  </si>
  <si>
    <t>Req dari sini</t>
  </si>
  <si>
    <t>10/08/2026-09/10/2026</t>
  </si>
  <si>
    <t>Lativa Asfira Zain</t>
  </si>
  <si>
    <t>Universitas Airlangga</t>
  </si>
  <si>
    <t>Ilmu Ekonomi</t>
  </si>
  <si>
    <t>Rama Edya Dewanda</t>
  </si>
  <si>
    <t>27 Juli sampai 10 Desember 2026.</t>
  </si>
  <si>
    <t>Mb. nensi</t>
  </si>
  <si>
    <t>Safina Rahmani Maulidiyah</t>
  </si>
  <si>
    <t>universitas airlangga</t>
  </si>
  <si>
    <t>D4 Teknik Informatika</t>
  </si>
  <si>
    <t>3 Agustus sampai 31 Oktober 2026.</t>
  </si>
  <si>
    <t>14.25</t>
  </si>
  <si>
    <t>Muhammad Fachry Shalahuddin Rusamsi</t>
  </si>
  <si>
    <t>Institut Teknologi Sepuluh Nopember</t>
  </si>
  <si>
    <t>03/08/2026-03/09/2026</t>
  </si>
  <si>
    <t>06 Juli sampai 06 Oktober 2026.</t>
  </si>
  <si>
    <t>Moch Raditya Putra p</t>
  </si>
  <si>
    <t>UPN Veteran Jawa Timur</t>
  </si>
  <si>
    <t>Sistem Informasi</t>
  </si>
  <si>
    <t>CINTIA AYU AMBARSARI</t>
  </si>
  <si>
    <t>27 Juli sampai 30 November 2026.</t>
  </si>
  <si>
    <t>14.40</t>
  </si>
  <si>
    <t>M Alfaeran Auriga Ruswandi</t>
  </si>
  <si>
    <t>no</t>
  </si>
  <si>
    <t>18/08/26-31/12/26</t>
  </si>
  <si>
    <t>interview sm dimas</t>
  </si>
  <si>
    <t>I gede Bima Galeno Fukminto</t>
  </si>
  <si>
    <t>nama dokumen</t>
  </si>
  <si>
    <t xml:space="preserve">link </t>
  </si>
  <si>
    <t>Hazma Oyran Narastu</t>
  </si>
  <si>
    <t>Mutiara Muthmainnah</t>
  </si>
  <si>
    <t>Admin</t>
  </si>
  <si>
    <t xml:space="preserve">Username </t>
  </si>
  <si>
    <t>Pasword</t>
  </si>
  <si>
    <t>Fidelia Hahas Asabela</t>
  </si>
  <si>
    <t>UPN “Veteran” Jawa Timur</t>
  </si>
  <si>
    <t>Informatika</t>
  </si>
  <si>
    <t>06 Juli sampai 20 November 2026.</t>
  </si>
  <si>
    <t>Evrillia Kurniawati</t>
  </si>
  <si>
    <t>SUKET &amp; SERTIF</t>
  </si>
  <si>
    <t>10.00</t>
  </si>
  <si>
    <t>https://drive.google.com/drive/folders/1UuvjRnkv-dc3hfwDKZFVID7I76pmzOPI?usp=drive_link</t>
  </si>
  <si>
    <t>17/08/2026 - 17/09/2026</t>
  </si>
  <si>
    <t>Kamilatus Sa’adah</t>
  </si>
  <si>
    <t>3 Agustus sampai 31 Oktobeer 2026.</t>
  </si>
  <si>
    <t>RAFA ARDIAN TRESNATRIADI</t>
  </si>
  <si>
    <t>811-2766-697</t>
  </si>
  <si>
    <t>Binus University</t>
  </si>
  <si>
    <t>Filippo Dafa Yudistira</t>
  </si>
  <si>
    <t>Bisnis Digital</t>
  </si>
  <si>
    <t>menyesuaikan namun kalo bisa di september</t>
  </si>
  <si>
    <t>Nadhief Asshidiqie Hidayat</t>
  </si>
  <si>
    <t>Universitas Negeri Surabaya</t>
  </si>
  <si>
    <t>Zahra Khoirunnisa Fifadiyanto</t>
  </si>
  <si>
    <t>03 Agustus sampai 18 Desember 2026.</t>
  </si>
  <si>
    <t>Muhammad farchan Irkhami</t>
  </si>
  <si>
    <t>S1 Akuntansi</t>
  </si>
  <si>
    <t>21 Juli - 21 Agustus 2026.</t>
  </si>
  <si>
    <t>kita hrus req bulan ini</t>
  </si>
  <si>
    <t>Universitas Duta Bangsa Surakarta</t>
  </si>
  <si>
    <t>S-1 Teknik Informatika</t>
  </si>
  <si>
    <t>3 Agustus sampai 9 November 2026.</t>
  </si>
  <si>
    <t>RHEZA REZKI MAULANA</t>
  </si>
  <si>
    <t>62-814-6985-9576</t>
  </si>
  <si>
    <t>Yusuf Azmar At Tabari</t>
  </si>
  <si>
    <t>S1 Teknik Informatika</t>
  </si>
  <si>
    <t>03 Agustus - 09 September 2026.</t>
  </si>
  <si>
    <t>Regita Afril Danessa</t>
  </si>
  <si>
    <t>Universitas Brawijaya</t>
  </si>
  <si>
    <t>Peternakan</t>
  </si>
  <si>
    <t>8 Juli - 6 Agustus 2026.</t>
  </si>
  <si>
    <t>Akuntansi Perpajakan</t>
  </si>
  <si>
    <t xml:space="preserve">15.40 </t>
  </si>
  <si>
    <t>bisa 23 agustus</t>
  </si>
  <si>
    <t>Original</t>
  </si>
  <si>
    <t>capabiltybuilding2025danseterusnya</t>
  </si>
  <si>
    <t>cbsantaibos123</t>
  </si>
  <si>
    <t>Univeritas Telkom</t>
  </si>
  <si>
    <t>3 Agustus - 28 November 2026.</t>
  </si>
  <si>
    <t>Universitas AKI</t>
  </si>
  <si>
    <t>Psikologi</t>
  </si>
  <si>
    <t>16.00</t>
  </si>
  <si>
    <t>Script MC Onboarding</t>
  </si>
  <si>
    <t>https://docs.google.com/document/d/1Rbv5__XVD64VNH82K0X9Y_-kb0A9F6xDm9UVt3z4ld0/edit?tab=t.0</t>
  </si>
  <si>
    <t>21/08/206 (masuk)</t>
  </si>
  <si>
    <t>Cici Mega Alfaini Masita</t>
  </si>
  <si>
    <t>Audreychita Naia Azalic</t>
  </si>
  <si>
    <t>1 Juli - 6 Agustus 2026.</t>
  </si>
  <si>
    <t>Alvin Ridho Ferdiansyah</t>
  </si>
  <si>
    <t>Universitas Bina Nusantara</t>
  </si>
  <si>
    <t>Entrepreneurship Business Creation (EBC).</t>
  </si>
  <si>
    <t>7 Juli - 24 Agustus 2026.</t>
  </si>
  <si>
    <t>Center</t>
  </si>
  <si>
    <t>capability.center</t>
  </si>
  <si>
    <t>SkillUp@IOH</t>
  </si>
  <si>
    <t>Admin Login diportal magang</t>
  </si>
  <si>
    <t>https://applyinternshipioh.com/index.php/admin/login</t>
  </si>
  <si>
    <t>12/08/2026 - 12/12/2026</t>
  </si>
  <si>
    <t xml:space="preserve">13/08/2026 - </t>
  </si>
  <si>
    <t>Informasi &amp; Humas</t>
  </si>
  <si>
    <t xml:space="preserve"> Internship</t>
  </si>
  <si>
    <t>26/08/26 - 26/12/2026</t>
  </si>
  <si>
    <t>internship@ioh</t>
  </si>
  <si>
    <t>Super@IOH123</t>
  </si>
  <si>
    <t>13/08/2026 -</t>
  </si>
  <si>
    <t>Mahesa Syailendra</t>
  </si>
  <si>
    <t>Data Anak Magang Batch 16</t>
  </si>
  <si>
    <t>https://docs.google.com/spreadsheets/d/1lQ42pwWt5c8QNkjHott76l3csi_WDwrQ69lqlUN6J6E/edit?gid=143457365#gid=143457365</t>
  </si>
  <si>
    <t>social media /req Postpaid</t>
  </si>
  <si>
    <t>13.50</t>
  </si>
  <si>
    <t>Netral</t>
  </si>
  <si>
    <t>Sarwah Najwa Zakiyah</t>
  </si>
  <si>
    <t>13 juli - 14 agustus 2026</t>
  </si>
  <si>
    <t>Ayesha Najwa</t>
  </si>
  <si>
    <t>Upload Suket &amp; Sertif</t>
  </si>
  <si>
    <t>https://drive.google.com/drive/folders/1ORlrd6qQBN1PtTQTzrAZu2PvYzXEeurC</t>
  </si>
  <si>
    <t>14.15</t>
  </si>
  <si>
    <t>26/08/26 - 26/08/2-26</t>
  </si>
  <si>
    <t>andinda Izza Haya</t>
  </si>
  <si>
    <t>Briliana Ainur Safira</t>
  </si>
  <si>
    <t>14.35</t>
  </si>
  <si>
    <t>10/09/2026-30/11/2026</t>
  </si>
  <si>
    <t xml:space="preserve">19 Agustus - </t>
  </si>
  <si>
    <t>Templat Pembuatan Lanyard</t>
  </si>
  <si>
    <t>https://docs.google.com/forms/d/e/1FAIpQLSd9dCv1YhWWnb4vfBvpI7tXvVn6V6aSF7DNvb0_Ubi959Axqg/viewform</t>
  </si>
  <si>
    <t>Olivia Calista Setiawan</t>
  </si>
  <si>
    <t xml:space="preserve">21 Agustus - </t>
  </si>
  <si>
    <t xml:space="preserve">24 Agustus - </t>
  </si>
  <si>
    <t>Marcom/req B2B/DSE</t>
  </si>
  <si>
    <t>14.55</t>
  </si>
  <si>
    <t>07/09/2026-07/12/2026</t>
  </si>
  <si>
    <t>Tasya Dwi Anggraini</t>
  </si>
  <si>
    <t>Onboarding (PPT)</t>
  </si>
  <si>
    <t>https://drive.google.com/drive/folders/1WzkXc8Ufz2srbnqvf4jZzH61VwtmT38N</t>
  </si>
  <si>
    <t>Pendidikan Teknik Informatika &amp; Komputer</t>
  </si>
  <si>
    <t>CB/req DSE</t>
  </si>
  <si>
    <t>9.20</t>
  </si>
  <si>
    <t>26/08/26 - 26/08/2026</t>
  </si>
  <si>
    <t>11 januari 2027 - 11 juni 2027 (koordinasi CB selanjutnya)</t>
  </si>
  <si>
    <t>Admin Marketing</t>
  </si>
  <si>
    <t>DSE</t>
  </si>
  <si>
    <t>NO</t>
  </si>
  <si>
    <t>Devisi</t>
  </si>
  <si>
    <t>No WA</t>
  </si>
  <si>
    <t>DIvisi</t>
  </si>
  <si>
    <t>Arif Febry Pratama</t>
  </si>
  <si>
    <t>0856-4217-0377</t>
  </si>
  <si>
    <t>Mentor Postpaid</t>
  </si>
  <si>
    <t>Bu Vika</t>
  </si>
  <si>
    <t>0857-9573-6846</t>
  </si>
  <si>
    <t xml:space="preserve"> Mentor Perawat gedung</t>
  </si>
  <si>
    <t>Fatony</t>
  </si>
  <si>
    <t>0857-1240-3649</t>
  </si>
  <si>
    <t>Dapet 5 kurang 6</t>
  </si>
  <si>
    <t>Feninda Nervino</t>
  </si>
  <si>
    <t>0815-6960-196</t>
  </si>
  <si>
    <t>Mentor CS</t>
  </si>
  <si>
    <t xml:space="preserve">Mas Fauzan </t>
  </si>
  <si>
    <t>0897-9026-333</t>
  </si>
  <si>
    <t>Mentor Marcom</t>
  </si>
  <si>
    <t>interview senin</t>
  </si>
  <si>
    <t xml:space="preserve">Nanang Wachid </t>
  </si>
  <si>
    <t>0816-654-008</t>
  </si>
  <si>
    <t>Mentor Sales Team</t>
  </si>
  <si>
    <t>Cukup</t>
  </si>
  <si>
    <t xml:space="preserve">Pak Delon </t>
  </si>
  <si>
    <t>0857-0469-5686</t>
  </si>
  <si>
    <t>Finance mentor</t>
  </si>
  <si>
    <t xml:space="preserve">Pak Joko </t>
  </si>
  <si>
    <t>0856-4035-6600</t>
  </si>
  <si>
    <t>Mentor IT</t>
  </si>
  <si>
    <t xml:space="preserve">Shintia Delika </t>
  </si>
  <si>
    <t>0856-0012-3603</t>
  </si>
  <si>
    <t>H3I Mbak Winda</t>
  </si>
  <si>
    <t>0899-5933-322</t>
  </si>
  <si>
    <t xml:space="preserve">Mba Tika </t>
  </si>
  <si>
    <t>858-6684-7609</t>
  </si>
  <si>
    <t>Resepsionis IOH</t>
  </si>
  <si>
    <t>pak santo</t>
  </si>
  <si>
    <t>0815-8521-4956</t>
  </si>
  <si>
    <t>SPV</t>
  </si>
  <si>
    <t>Mba Lia</t>
  </si>
  <si>
    <t>62 815-6560-303</t>
  </si>
  <si>
    <t>butuh 2</t>
  </si>
  <si>
    <t>keterangan</t>
  </si>
  <si>
    <t>gedung lantai 8 kosong di tanggal 19-26 agustus 2026</t>
  </si>
  <si>
    <t>kalau dibulan depan kosong mulai tanggal 3/09/2026</t>
  </si>
  <si>
    <t>kalau lebih di tanggal 26/08/2026 maka di lantai 10 (tapi ga bisa di pastikan).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</si>
</sst>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dd/mm/yy"/>
    <numFmt numFmtId="166" formatCode="d.m"/>
    <numFmt numFmtId="167" formatCode="d mmmm yyyy"/>
  </numFmts>
  <fonts count="9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b/>
      <color theme="1"/>
      <name val="Arial"/>
    </font>
    <font>
      <b/>
      <color theme="1"/>
      <name val="Times New Roman"/>
    </font>
    <font>
      <color theme="1"/>
      <name val="Times New Roman"/>
    </font>
    <font>
      <sz val="12.0"/>
      <color rgb="FF212529"/>
      <name val="Poppins"/>
    </font>
    <font>
      <sz val="11.0"/>
      <color rgb="FF212529"/>
      <name val="Poppins"/>
    </font>
    <font>
      <u/>
      <color rgb="FF1155CC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00FF"/>
        <bgColor rgb="FFFF00FF"/>
      </patternFill>
    </fill>
    <fill>
      <patternFill patternType="solid">
        <fgColor rgb="FF93C47D"/>
        <bgColor rgb="FF93C47D"/>
      </patternFill>
    </fill>
    <fill>
      <patternFill patternType="solid">
        <fgColor rgb="FFF8F9FA"/>
        <bgColor rgb="FFF8F9FA"/>
      </patternFill>
    </fill>
    <fill>
      <patternFill patternType="solid">
        <fgColor rgb="FFFF0000"/>
        <bgColor rgb="FFFF0000"/>
      </patternFill>
    </fill>
    <fill>
      <patternFill patternType="solid">
        <fgColor rgb="FFEFEFEF"/>
        <bgColor rgb="FFEFEFEF"/>
      </patternFill>
    </fill>
    <fill>
      <patternFill patternType="solid">
        <fgColor theme="0"/>
        <bgColor theme="0"/>
      </patternFill>
    </fill>
    <fill>
      <patternFill patternType="solid">
        <fgColor rgb="FFA4C2F4"/>
        <bgColor rgb="FFA4C2F4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2" numFmtId="0" xfId="0" applyAlignment="1" applyFill="1" applyFont="1">
      <alignment horizontal="center"/>
    </xf>
    <xf borderId="1" fillId="3" fontId="1" numFmtId="0" xfId="0" applyAlignment="1" applyBorder="1" applyFill="1" applyFont="1">
      <alignment horizontal="center" readingOrder="0"/>
    </xf>
    <xf borderId="1" fillId="4" fontId="2" numFmtId="0" xfId="0" applyAlignment="1" applyBorder="1" applyFill="1" applyFont="1">
      <alignment horizontal="center" readingOrder="0"/>
    </xf>
    <xf borderId="1" fillId="5" fontId="1" numFmtId="0" xfId="0" applyAlignment="1" applyBorder="1" applyFill="1" applyFont="1">
      <alignment horizontal="center" vertical="bottom"/>
    </xf>
    <xf borderId="1" fillId="5" fontId="1" numFmtId="0" xfId="0" applyAlignment="1" applyBorder="1" applyFill="1" applyFont="1">
      <alignment vertical="bottom"/>
    </xf>
    <xf borderId="1" fillId="6" fontId="1" numFmtId="0" xfId="0" applyAlignment="1" applyBorder="1" applyFill="1" applyFont="1">
      <alignment horizontal="center" vertical="bottom"/>
    </xf>
    <xf borderId="1" fillId="7" fontId="1" numFmtId="0" xfId="0" applyAlignment="1" applyBorder="1" applyFill="1" applyFont="1">
      <alignment horizontal="center" readingOrder="0" vertical="bottom"/>
    </xf>
    <xf borderId="1" fillId="6" fontId="3" numFmtId="0" xfId="0" applyAlignment="1" applyBorder="1" applyFill="1" applyFont="1">
      <alignment vertical="bottom"/>
    </xf>
    <xf borderId="1" fillId="5" fontId="1" numFmtId="0" xfId="0" applyAlignment="1" applyBorder="1" applyFill="1" applyFont="1">
      <alignment readingOrder="0" vertical="bottom"/>
    </xf>
    <xf borderId="1" fillId="6" fontId="3" numFmtId="0" xfId="0" applyAlignment="1" applyBorder="1" applyFill="1" applyFont="1">
      <alignment horizontal="center" vertical="bottom"/>
    </xf>
    <xf borderId="1" fillId="8" fontId="2" numFmtId="0" xfId="0" applyAlignment="1" applyBorder="1" applyFill="1" applyFont="1">
      <alignment readingOrder="0"/>
    </xf>
    <xf borderId="1" fillId="5" fontId="2" numFmtId="0" xfId="0" applyAlignment="1" applyBorder="1" applyFill="1" applyFont="1">
      <alignment horizontal="center" readingOrder="0"/>
    </xf>
    <xf borderId="1" fillId="2" fontId="1" numFmtId="0" xfId="0" applyBorder="1" applyFill="1" applyFont="1"/>
    <xf borderId="1" fillId="6" fontId="1" numFmtId="0" xfId="0" applyAlignment="1" applyBorder="1" applyFill="1" applyFont="1">
      <alignment horizontal="center" readingOrder="0"/>
    </xf>
    <xf borderId="1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vertical="bottom"/>
    </xf>
    <xf borderId="1" fillId="2" fontId="1" numFmtId="0" xfId="0" applyAlignment="1" applyBorder="1" applyFill="1" applyFont="1">
      <alignment vertical="bottom"/>
    </xf>
    <xf borderId="1" fillId="3" fontId="1" numFmtId="0" xfId="0" applyAlignment="1" applyBorder="1" applyFill="1" applyFont="1">
      <alignment vertical="bottom"/>
    </xf>
    <xf borderId="1" fillId="0" fontId="1" numFmtId="0" xfId="0" applyAlignment="1" applyBorder="1" applyFont="1">
      <alignment horizontal="center" readingOrder="0" vertical="bottom"/>
    </xf>
    <xf borderId="1" fillId="3" fontId="1" numFmtId="0" xfId="0" applyAlignment="1" applyBorder="1" applyFill="1" applyFont="1">
      <alignment horizontal="center" vertical="bottom"/>
    </xf>
    <xf borderId="1" fillId="0" fontId="2" numFmtId="0" xfId="0" applyAlignment="1" applyBorder="1" applyFont="1">
      <alignment horizontal="center" readingOrder="0"/>
    </xf>
    <xf borderId="1" fillId="3" fontId="1" numFmtId="164" xfId="0" applyAlignment="1" applyBorder="1" applyFill="1" applyFont="1" applyNumberFormat="1">
      <alignment horizontal="right" vertical="bottom"/>
    </xf>
    <xf borderId="1" fillId="0" fontId="2" numFmtId="0" xfId="0" applyAlignment="1" applyBorder="1" applyFont="1">
      <alignment readingOrder="0"/>
    </xf>
    <xf borderId="1" fillId="6" fontId="1" numFmtId="0" xfId="0" applyAlignment="1" applyBorder="1" applyFill="1" applyFont="1">
      <alignment horizontal="center" readingOrder="0" vertical="bottom"/>
    </xf>
    <xf borderId="1" fillId="0" fontId="1" numFmtId="0" xfId="0" applyAlignment="1" applyBorder="1" applyFont="1">
      <alignment readingOrder="0" vertical="bottom"/>
    </xf>
    <xf borderId="1" fillId="9" fontId="1" numFmtId="0" xfId="0" applyAlignment="1" applyBorder="1" applyFill="1" applyFont="1">
      <alignment vertical="bottom"/>
    </xf>
    <xf borderId="1" fillId="0" fontId="2" numFmtId="0" xfId="0" applyBorder="1" applyFont="1"/>
    <xf borderId="0" fillId="0" fontId="1" numFmtId="164" xfId="0" applyAlignment="1" applyFont="1" applyNumberFormat="1">
      <alignment horizontal="left" vertical="bottom"/>
    </xf>
    <xf borderId="0" fillId="0" fontId="2" numFmtId="0" xfId="0" applyAlignment="1" applyFont="1">
      <alignment readingOrder="0"/>
    </xf>
    <xf borderId="1" fillId="5" fontId="1" numFmtId="0" xfId="0" applyBorder="1" applyFill="1" applyFont="1"/>
    <xf borderId="1" fillId="9" fontId="1" numFmtId="0" xfId="0" applyBorder="1" applyFill="1" applyFont="1"/>
    <xf borderId="1" fillId="2" fontId="1" numFmtId="0" xfId="0" applyAlignment="1" applyBorder="1" applyFill="1" applyFont="1">
      <alignment readingOrder="0"/>
    </xf>
    <xf borderId="1" fillId="7" fontId="1" numFmtId="0" xfId="0" applyAlignment="1" applyBorder="1" applyFill="1" applyFont="1">
      <alignment readingOrder="0" vertical="bottom"/>
    </xf>
    <xf borderId="0" fillId="9" fontId="1" numFmtId="0" xfId="0" applyAlignment="1" applyFill="1" applyFont="1">
      <alignment horizontal="center" readingOrder="0"/>
    </xf>
    <xf borderId="0" fillId="9" fontId="1" numFmtId="0" xfId="0" applyAlignment="1" applyFill="1" applyFont="1">
      <alignment readingOrder="0" vertical="bottom"/>
    </xf>
    <xf borderId="0" fillId="9" fontId="1" numFmtId="0" xfId="0" applyAlignment="1" applyFill="1" applyFont="1">
      <alignment horizontal="center" vertical="bottom"/>
    </xf>
    <xf borderId="0" fillId="9" fontId="1" numFmtId="0" xfId="0" applyAlignment="1" applyFill="1" applyFont="1">
      <alignment horizontal="center" readingOrder="0" vertical="bottom"/>
    </xf>
    <xf borderId="0" fillId="9" fontId="1" numFmtId="0" xfId="0" applyAlignment="1" applyFill="1" applyFont="1">
      <alignment vertical="bottom"/>
    </xf>
    <xf borderId="0" fillId="9" fontId="2" numFmtId="0" xfId="0" applyFill="1" applyFont="1"/>
    <xf borderId="1" fillId="7" fontId="1" numFmtId="0" xfId="0" applyAlignment="1" applyBorder="1" applyFill="1" applyFont="1">
      <alignment vertical="bottom"/>
    </xf>
    <xf borderId="1" fillId="10" fontId="1" numFmtId="0" xfId="0" applyAlignment="1" applyBorder="1" applyFill="1" applyFont="1">
      <alignment vertical="bottom"/>
    </xf>
    <xf borderId="1" fillId="11" fontId="1" numFmtId="0" xfId="0" applyAlignment="1" applyBorder="1" applyFill="1" applyFont="1">
      <alignment horizontal="center" vertical="bottom"/>
    </xf>
    <xf borderId="1" fillId="11" fontId="1" numFmtId="0" xfId="0" applyAlignment="1" applyBorder="1" applyFill="1" applyFont="1">
      <alignment vertical="bottom"/>
    </xf>
    <xf borderId="1" fillId="2" fontId="1" numFmtId="164" xfId="0" applyAlignment="1" applyBorder="1" applyFill="1" applyFont="1" applyNumberFormat="1">
      <alignment horizontal="right" vertical="bottom"/>
    </xf>
    <xf borderId="1" fillId="3" fontId="1" numFmtId="0" xfId="0" applyAlignment="1" applyBorder="1" applyFill="1" applyFont="1">
      <alignment horizontal="right" vertical="bottom"/>
    </xf>
    <xf borderId="0" fillId="2" fontId="1" numFmtId="164" xfId="0" applyAlignment="1" applyFill="1" applyFont="1" applyNumberFormat="1">
      <alignment vertical="bottom"/>
    </xf>
    <xf borderId="1" fillId="9" fontId="1" numFmtId="0" xfId="0" applyAlignment="1" applyBorder="1" applyFill="1" applyFont="1">
      <alignment readingOrder="0"/>
    </xf>
    <xf borderId="1" fillId="0" fontId="1" numFmtId="165" xfId="0" applyAlignment="1" applyBorder="1" applyFont="1" applyNumberFormat="1">
      <alignment horizontal="right" vertical="bottom"/>
    </xf>
    <xf borderId="1" fillId="0" fontId="1" numFmtId="0" xfId="0" applyAlignment="1" applyBorder="1" applyFont="1">
      <alignment horizontal="right" vertical="bottom"/>
    </xf>
    <xf borderId="1" fillId="0" fontId="1" numFmtId="164" xfId="0" applyAlignment="1" applyBorder="1" applyFont="1" applyNumberFormat="1">
      <alignment horizontal="right" vertical="bottom"/>
    </xf>
    <xf borderId="1" fillId="0" fontId="4" numFmtId="0" xfId="0" applyAlignment="1" applyBorder="1" applyFont="1">
      <alignment horizontal="center" vertical="bottom"/>
    </xf>
    <xf borderId="0" fillId="0" fontId="1" numFmtId="0" xfId="0" applyAlignment="1" applyFont="1">
      <alignment readingOrder="0" vertical="bottom"/>
    </xf>
    <xf borderId="1" fillId="0" fontId="3" numFmtId="0" xfId="0" applyAlignment="1" applyBorder="1" applyFont="1">
      <alignment horizontal="center" vertical="bottom"/>
    </xf>
    <xf borderId="0" fillId="10" fontId="1" numFmtId="0" xfId="0" applyAlignment="1" applyFill="1" applyFont="1">
      <alignment vertical="bottom"/>
    </xf>
    <xf borderId="1" fillId="10" fontId="1" numFmtId="0" xfId="0" applyAlignment="1" applyBorder="1" applyFill="1" applyFont="1">
      <alignment horizontal="right" vertical="bottom"/>
    </xf>
    <xf borderId="1" fillId="0" fontId="5" numFmtId="0" xfId="0" applyAlignment="1" applyBorder="1" applyFont="1">
      <alignment horizontal="center" vertical="bottom"/>
    </xf>
    <xf borderId="1" fillId="10" fontId="1" numFmtId="164" xfId="0" applyAlignment="1" applyBorder="1" applyFill="1" applyFont="1" applyNumberFormat="1">
      <alignment horizontal="right" vertical="bottom"/>
    </xf>
    <xf borderId="1" fillId="8" fontId="1" numFmtId="0" xfId="0" applyAlignment="1" applyBorder="1" applyFill="1" applyFont="1">
      <alignment vertical="bottom"/>
    </xf>
    <xf borderId="1" fillId="7" fontId="1" numFmtId="164" xfId="0" applyAlignment="1" applyBorder="1" applyFill="1" applyFont="1" applyNumberFormat="1">
      <alignment horizontal="right" vertical="bottom"/>
    </xf>
    <xf borderId="1" fillId="0" fontId="1" numFmtId="166" xfId="0" applyAlignment="1" applyBorder="1" applyFont="1" applyNumberFormat="1">
      <alignment horizontal="right" vertical="bottom"/>
    </xf>
    <xf borderId="1" fillId="8" fontId="6" numFmtId="0" xfId="0" applyAlignment="1" applyBorder="1" applyFill="1" applyFont="1">
      <alignment vertical="bottom"/>
    </xf>
    <xf borderId="1" fillId="2" fontId="7" numFmtId="0" xfId="0" applyAlignment="1" applyBorder="1" applyFill="1" applyFont="1">
      <alignment horizontal="right" vertical="bottom"/>
    </xf>
    <xf borderId="1" fillId="0" fontId="8" numFmtId="0" xfId="0" applyAlignment="1" applyBorder="1" applyFont="1">
      <alignment vertical="bottom"/>
    </xf>
    <xf borderId="0" fillId="0" fontId="1" numFmtId="167" xfId="0" applyAlignment="1" applyFont="1" applyNumberFormat="1">
      <alignment horizontal="right" vertical="bottom"/>
    </xf>
    <xf borderId="0" fillId="12" fontId="2" numFmtId="0" xfId="0" applyAlignment="1" applyFill="1" applyFont="1">
      <alignment readingOrder="0"/>
    </xf>
    <xf borderId="1" fillId="13" fontId="1" numFmtId="0" xfId="0" applyAlignment="1" applyBorder="1" applyFill="1" applyFont="1">
      <alignment vertical="bottom"/>
    </xf>
    <xf borderId="1" fillId="10" fontId="1" numFmtId="0" xfId="0" applyAlignment="1" applyBorder="1" applyFill="1" applyFont="1">
      <alignment readingOrder="0" vertical="bottom"/>
    </xf>
    <xf borderId="1" fillId="6" fontId="1" numFmtId="0" xfId="0" applyAlignment="1" applyBorder="1" applyFill="1" applyFont="1">
      <alignment readingOrder="0" vertical="bottom"/>
    </xf>
    <xf borderId="1" fillId="10" fontId="1" numFmtId="0" xfId="0" applyAlignment="1" applyBorder="1" applyFill="1" applyFont="1">
      <alignment readingOrder="0"/>
    </xf>
    <xf borderId="0" fillId="3" fontId="2" numFmtId="0" xfId="0" applyAlignment="1" applyFill="1" applyFont="1">
      <alignment readingOrder="0"/>
    </xf>
    <xf borderId="1" fillId="12" fontId="1" numFmtId="0" xfId="0" applyAlignment="1" applyBorder="1" applyFill="1" applyFont="1">
      <alignment readingOrder="0" vertical="bottom"/>
    </xf>
    <xf borderId="1" fillId="3" fontId="1" numFmtId="0" xfId="0" applyAlignment="1" applyBorder="1" applyFill="1" applyFont="1">
      <alignment readingOrder="0" vertical="bottom"/>
    </xf>
    <xf borderId="1" fillId="7" fontId="1" numFmtId="164" xfId="0" applyAlignment="1" applyBorder="1" applyFill="1" applyFont="1" applyNumberFormat="1">
      <alignment readingOrder="0" vertical="bottom"/>
    </xf>
    <xf borderId="2" fillId="0" fontId="1" numFmtId="0" xfId="0" applyAlignment="1" applyBorder="1" applyFont="1">
      <alignment horizontal="center" vertical="bottom"/>
    </xf>
    <xf borderId="1" fillId="3" fontId="2" numFmtId="0" xfId="0" applyAlignment="1" applyBorder="1" applyFill="1" applyFont="1">
      <alignment readingOrder="0"/>
    </xf>
    <xf borderId="2" fillId="0" fontId="1" numFmtId="0" xfId="0" applyAlignment="1" applyBorder="1" applyFont="1">
      <alignment vertical="bottom"/>
    </xf>
    <xf borderId="0" fillId="0" fontId="1" numFmtId="0" xfId="0" applyAlignment="1" applyFont="1">
      <alignment horizontal="right" readingOrder="0" vertical="bottom"/>
    </xf>
    <xf borderId="1" fillId="12" fontId="2" numFmtId="0" xfId="0" applyAlignment="1" applyBorder="1" applyFill="1" applyFont="1">
      <alignment readingOrder="0"/>
    </xf>
    <xf borderId="1" fillId="0" fontId="1" numFmtId="164" xfId="0" applyAlignment="1" applyBorder="1" applyFont="1" applyNumberFormat="1">
      <alignment readingOrder="0" vertical="bottom"/>
    </xf>
    <xf borderId="1" fillId="7" fontId="1" numFmtId="164" xfId="0" applyAlignment="1" applyBorder="1" applyFill="1" applyFont="1" applyNumberFormat="1">
      <alignment horizontal="left" readingOrder="0" vertical="bottom"/>
    </xf>
    <xf borderId="3" fillId="0" fontId="1" numFmtId="0" xfId="0" applyAlignment="1" applyBorder="1" applyFont="1">
      <alignment vertical="bottom"/>
    </xf>
    <xf borderId="0" fillId="0" fontId="1" numFmtId="165" xfId="0" applyAlignment="1" applyFont="1" applyNumberFormat="1">
      <alignment horizontal="right" vertical="bottom"/>
    </xf>
    <xf borderId="1" fillId="13" fontId="1" numFmtId="0" xfId="0" applyAlignment="1" applyBorder="1" applyFill="1" applyFont="1">
      <alignment readingOrder="0" vertical="bottom"/>
    </xf>
    <xf borderId="0" fillId="0" fontId="2" numFmtId="0" xfId="0" applyFont="1"/>
    <xf borderId="1" fillId="12" fontId="1" numFmtId="0" xfId="0" applyAlignment="1" applyBorder="1" applyFill="1" applyFont="1">
      <alignment vertical="bottom"/>
    </xf>
    <xf borderId="0" fillId="0" fontId="1" numFmtId="0" xfId="0" applyAlignment="1" applyFont="1">
      <alignment horizontal="left" readingOrder="0" vertical="bottom"/>
    </xf>
    <xf borderId="0" fillId="7" fontId="7" numFmtId="0" xfId="0" applyAlignment="1" applyFill="1" applyFont="1">
      <alignment readingOrder="0"/>
    </xf>
    <xf borderId="1" fillId="9" fontId="1" numFmtId="0" xfId="0" applyAlignment="1" applyBorder="1" applyFill="1" applyFont="1">
      <alignment readingOrder="0" vertical="bottom"/>
    </xf>
    <xf borderId="1" fillId="5" fontId="1" numFmtId="164" xfId="0" applyAlignment="1" applyBorder="1" applyFill="1" applyFont="1" applyNumberFormat="1">
      <alignment readingOrder="0" vertical="bottom"/>
    </xf>
    <xf borderId="0" fillId="0" fontId="1" numFmtId="165" xfId="0" applyAlignment="1" applyFont="1" applyNumberFormat="1">
      <alignment horizontal="left" vertical="bottom"/>
    </xf>
    <xf borderId="4" fillId="0" fontId="1" numFmtId="0" xfId="0" applyAlignment="1" applyBorder="1" applyFont="1">
      <alignment horizontal="center" vertical="bottom"/>
    </xf>
    <xf borderId="4" fillId="0" fontId="1" numFmtId="0" xfId="0" applyAlignment="1" applyBorder="1" applyFont="1">
      <alignment vertical="bottom"/>
    </xf>
    <xf borderId="1" fillId="10" fontId="1" numFmtId="0" xfId="0" applyAlignment="1" applyBorder="1" applyFill="1" applyFont="1">
      <alignment horizontal="center" vertical="bottom"/>
    </xf>
    <xf borderId="0" fillId="4" fontId="2" numFmtId="0" xfId="0" applyAlignment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UuvjRnkv-dc3hfwDKZFVID7I76pmzOPI?usp=drive_link" TargetMode="External"/><Relationship Id="rId2" Type="http://schemas.openxmlformats.org/officeDocument/2006/relationships/hyperlink" Target="https://docs.google.com/document/d/1Rbv5__XVD64VNH82K0X9Y_-kb0A9F6xDm9UVt3z4ld0/edit?tab=t.0" TargetMode="External"/><Relationship Id="rId3" Type="http://schemas.openxmlformats.org/officeDocument/2006/relationships/hyperlink" Target="https://applyinternshipioh.com/index.php/admin/login" TargetMode="External"/><Relationship Id="rId4" Type="http://schemas.openxmlformats.org/officeDocument/2006/relationships/hyperlink" Target="https://docs.google.com/spreadsheets/d/1lQ42pwWt5c8QNkjHott76l3csi_WDwrQ69lqlUN6J6E/edit?gid=143457365" TargetMode="External"/><Relationship Id="rId5" Type="http://schemas.openxmlformats.org/officeDocument/2006/relationships/hyperlink" Target="https://drive.google.com/drive/folders/1ORlrd6qQBN1PtTQTzrAZu2PvYzXEeurC" TargetMode="External"/><Relationship Id="rId6" Type="http://schemas.openxmlformats.org/officeDocument/2006/relationships/hyperlink" Target="https://docs.google.com/forms/d/e/1FAIpQLSd9dCv1YhWWnb4vfBvpI7tXvVn6V6aSF7DNvb0_Ubi959Axqg/viewform" TargetMode="External"/><Relationship Id="rId7" Type="http://schemas.openxmlformats.org/officeDocument/2006/relationships/hyperlink" Target="https://drive.google.com/drive/folders/1WzkXc8Ufz2srbnqvf4jZzH61VwtmT38N" TargetMode="External"/><Relationship Id="rId8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2" max="2" width="31.38"/>
    <col customWidth="1" min="3" max="3" width="23.75"/>
    <col customWidth="1" min="4" max="4" width="38.0"/>
    <col customWidth="1" min="5" max="5" width="36.25"/>
    <col customWidth="1" min="6" max="6" width="23.5"/>
    <col customWidth="1" min="7" max="7" width="32.38"/>
    <col customWidth="1" min="8" max="8" width="16.0"/>
    <col customWidth="1" min="9" max="9" width="20.0"/>
    <col customWidth="1" min="12" max="12" width="16.63"/>
  </cols>
  <sheetData>
    <row r="1">
      <c r="A1" s="2"/>
    </row>
    <row r="2">
      <c r="A2" s="4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10" t="s">
        <v>5</v>
      </c>
      <c r="G2" s="6" t="s">
        <v>7</v>
      </c>
      <c r="H2" s="12" t="s">
        <v>8</v>
      </c>
      <c r="I2" s="12" t="s">
        <v>12</v>
      </c>
      <c r="J2" s="12" t="s">
        <v>14</v>
      </c>
      <c r="K2" s="12" t="s">
        <v>16</v>
      </c>
    </row>
    <row r="3">
      <c r="A3" s="4">
        <v>1.0</v>
      </c>
      <c r="B3" s="14" t="s">
        <v>18</v>
      </c>
      <c r="C3" s="14" t="s">
        <v>19</v>
      </c>
      <c r="D3" s="17" t="s">
        <v>20</v>
      </c>
      <c r="E3" s="17" t="s">
        <v>23</v>
      </c>
      <c r="F3" s="26" t="s">
        <v>37</v>
      </c>
      <c r="G3" s="17" t="s">
        <v>39</v>
      </c>
      <c r="H3" s="24" t="s">
        <v>42</v>
      </c>
      <c r="I3" s="24" t="s">
        <v>46</v>
      </c>
      <c r="J3" s="28"/>
      <c r="K3" s="28"/>
    </row>
    <row r="4">
      <c r="A4" s="4">
        <v>2.0</v>
      </c>
      <c r="B4" s="14" t="s">
        <v>51</v>
      </c>
      <c r="C4" s="14" t="s">
        <v>53</v>
      </c>
      <c r="D4" s="17" t="s">
        <v>54</v>
      </c>
      <c r="E4" s="17" t="s">
        <v>55</v>
      </c>
      <c r="F4" s="26" t="s">
        <v>37</v>
      </c>
      <c r="G4" s="17" t="s">
        <v>56</v>
      </c>
      <c r="H4" s="24" t="s">
        <v>42</v>
      </c>
      <c r="I4" s="24" t="s">
        <v>46</v>
      </c>
      <c r="J4" s="28"/>
      <c r="K4" s="28"/>
    </row>
    <row r="5">
      <c r="A5" s="4">
        <v>3.0</v>
      </c>
      <c r="B5" s="14" t="s">
        <v>61</v>
      </c>
      <c r="C5" s="14" t="s">
        <v>62</v>
      </c>
      <c r="D5" s="26" t="s">
        <v>63</v>
      </c>
      <c r="E5" s="26" t="s">
        <v>65</v>
      </c>
      <c r="F5" s="26" t="s">
        <v>37</v>
      </c>
      <c r="G5" s="26" t="s">
        <v>67</v>
      </c>
      <c r="H5" s="24" t="s">
        <v>69</v>
      </c>
      <c r="I5" s="28"/>
      <c r="J5" s="28"/>
      <c r="K5" s="28"/>
    </row>
    <row r="6">
      <c r="A6" s="4">
        <v>4.0</v>
      </c>
      <c r="B6" s="14" t="s">
        <v>71</v>
      </c>
      <c r="C6" s="14" t="s">
        <v>32</v>
      </c>
      <c r="D6" s="26" t="s">
        <v>72</v>
      </c>
      <c r="E6" s="17"/>
      <c r="F6" s="26" t="s">
        <v>37</v>
      </c>
      <c r="G6" s="26" t="s">
        <v>73</v>
      </c>
      <c r="H6" s="28"/>
      <c r="I6" s="28"/>
      <c r="J6" s="28"/>
      <c r="K6" s="28"/>
    </row>
    <row r="7">
      <c r="A7" s="4">
        <v>5.0</v>
      </c>
      <c r="B7" s="32" t="s">
        <v>76</v>
      </c>
      <c r="C7" s="32" t="s">
        <v>80</v>
      </c>
      <c r="D7" s="17"/>
      <c r="E7" s="17"/>
      <c r="F7" s="17"/>
      <c r="G7" s="17"/>
      <c r="H7" s="28"/>
      <c r="I7" s="28"/>
      <c r="J7" s="28"/>
      <c r="K7" s="28"/>
    </row>
    <row r="8">
      <c r="A8" s="4">
        <v>6.0</v>
      </c>
      <c r="B8" s="14" t="s">
        <v>21</v>
      </c>
      <c r="C8" s="14" t="s">
        <v>19</v>
      </c>
      <c r="D8" s="26" t="s">
        <v>63</v>
      </c>
      <c r="E8" s="26" t="s">
        <v>83</v>
      </c>
      <c r="F8" s="26" t="s">
        <v>37</v>
      </c>
      <c r="G8" s="34" t="s">
        <v>87</v>
      </c>
      <c r="H8" s="24" t="s">
        <v>69</v>
      </c>
      <c r="I8" s="24"/>
      <c r="J8" s="28"/>
      <c r="K8" s="28"/>
      <c r="L8" s="30" t="s">
        <v>91</v>
      </c>
    </row>
    <row r="9">
      <c r="A9" s="4">
        <v>7.0</v>
      </c>
      <c r="B9" s="14" t="s">
        <v>31</v>
      </c>
      <c r="C9" s="31" t="s">
        <v>32</v>
      </c>
      <c r="D9" s="26" t="s">
        <v>63</v>
      </c>
      <c r="E9" s="26" t="s">
        <v>95</v>
      </c>
      <c r="F9" s="26" t="s">
        <v>37</v>
      </c>
      <c r="G9" s="34" t="s">
        <v>97</v>
      </c>
      <c r="H9" s="24" t="s">
        <v>69</v>
      </c>
      <c r="I9" s="28"/>
      <c r="J9" s="28"/>
      <c r="K9" s="28"/>
      <c r="L9" s="30" t="s">
        <v>100</v>
      </c>
    </row>
    <row r="10">
      <c r="A10" s="4">
        <v>8.0</v>
      </c>
      <c r="B10" s="32" t="s">
        <v>101</v>
      </c>
      <c r="C10" s="32" t="s">
        <v>103</v>
      </c>
      <c r="D10" s="17" t="s">
        <v>20</v>
      </c>
      <c r="E10" s="17" t="s">
        <v>55</v>
      </c>
      <c r="F10" s="26" t="s">
        <v>37</v>
      </c>
      <c r="G10" s="17" t="s">
        <v>105</v>
      </c>
      <c r="H10" s="24" t="s">
        <v>42</v>
      </c>
      <c r="I10" s="24" t="s">
        <v>46</v>
      </c>
      <c r="J10" s="28"/>
      <c r="K10" s="28"/>
    </row>
    <row r="11">
      <c r="A11" s="4">
        <v>9.0</v>
      </c>
      <c r="B11" s="17" t="s">
        <v>36</v>
      </c>
      <c r="C11" s="17" t="s">
        <v>32</v>
      </c>
      <c r="D11" s="17" t="s">
        <v>108</v>
      </c>
      <c r="E11" s="17" t="s">
        <v>55</v>
      </c>
      <c r="F11" s="26" t="s">
        <v>37</v>
      </c>
      <c r="G11" s="41" t="s">
        <v>109</v>
      </c>
      <c r="H11" s="28"/>
      <c r="I11" s="24" t="s">
        <v>111</v>
      </c>
      <c r="J11" s="28"/>
      <c r="K11" s="28"/>
    </row>
    <row r="12">
      <c r="A12" s="4">
        <v>10.0</v>
      </c>
      <c r="B12" s="14" t="s">
        <v>112</v>
      </c>
      <c r="C12" s="14" t="s">
        <v>113</v>
      </c>
      <c r="D12" s="17" t="s">
        <v>20</v>
      </c>
      <c r="E12" s="17" t="s">
        <v>55</v>
      </c>
      <c r="F12" s="26" t="s">
        <v>37</v>
      </c>
      <c r="G12" s="17" t="s">
        <v>105</v>
      </c>
      <c r="H12" s="24" t="s">
        <v>42</v>
      </c>
      <c r="I12" s="24" t="s">
        <v>46</v>
      </c>
      <c r="J12" s="28"/>
      <c r="K12" s="28"/>
    </row>
    <row r="13">
      <c r="A13" s="4">
        <v>11.0</v>
      </c>
      <c r="B13" s="32" t="s">
        <v>41</v>
      </c>
      <c r="C13" s="32" t="s">
        <v>19</v>
      </c>
      <c r="D13" s="26" t="s">
        <v>63</v>
      </c>
      <c r="E13" s="26" t="s">
        <v>115</v>
      </c>
      <c r="F13" s="26" t="s">
        <v>37</v>
      </c>
      <c r="G13" s="34" t="s">
        <v>116</v>
      </c>
      <c r="H13" s="24" t="s">
        <v>69</v>
      </c>
      <c r="I13" s="28"/>
      <c r="J13" s="28"/>
      <c r="K13" s="28"/>
    </row>
    <row r="14">
      <c r="A14" s="4">
        <v>12.0</v>
      </c>
      <c r="B14" s="32" t="s">
        <v>119</v>
      </c>
      <c r="C14" s="32" t="s">
        <v>19</v>
      </c>
      <c r="D14" s="17" t="s">
        <v>20</v>
      </c>
      <c r="E14" s="17" t="s">
        <v>55</v>
      </c>
      <c r="F14" s="26" t="s">
        <v>37</v>
      </c>
      <c r="G14" s="19" t="s">
        <v>122</v>
      </c>
      <c r="H14" s="24" t="s">
        <v>69</v>
      </c>
      <c r="I14" s="24" t="s">
        <v>46</v>
      </c>
      <c r="J14" s="28"/>
      <c r="K14" s="28"/>
    </row>
    <row r="15">
      <c r="A15" s="4">
        <v>13.0</v>
      </c>
      <c r="B15" s="32" t="s">
        <v>124</v>
      </c>
      <c r="C15" s="32" t="s">
        <v>125</v>
      </c>
      <c r="D15" s="26" t="s">
        <v>72</v>
      </c>
      <c r="E15" s="26" t="s">
        <v>126</v>
      </c>
      <c r="F15" s="26" t="s">
        <v>37</v>
      </c>
      <c r="G15" s="26" t="s">
        <v>127</v>
      </c>
      <c r="H15" s="24" t="s">
        <v>42</v>
      </c>
      <c r="I15" s="24" t="s">
        <v>128</v>
      </c>
      <c r="J15" s="28"/>
      <c r="K15" s="28"/>
      <c r="L15" s="30">
        <v>1.2020223140144E13</v>
      </c>
    </row>
    <row r="16">
      <c r="A16" s="4">
        <v>14.0</v>
      </c>
      <c r="B16" s="14" t="s">
        <v>131</v>
      </c>
      <c r="C16" s="14" t="s">
        <v>103</v>
      </c>
      <c r="D16" s="17" t="s">
        <v>20</v>
      </c>
      <c r="E16" s="17" t="s">
        <v>55</v>
      </c>
      <c r="F16" s="26" t="s">
        <v>37</v>
      </c>
      <c r="G16" s="17" t="s">
        <v>105</v>
      </c>
      <c r="H16" s="24" t="s">
        <v>42</v>
      </c>
      <c r="I16" s="24" t="s">
        <v>46</v>
      </c>
      <c r="J16" s="28"/>
      <c r="K16" s="28"/>
    </row>
    <row r="17">
      <c r="A17" s="4">
        <v>15.0</v>
      </c>
      <c r="B17" s="32" t="s">
        <v>132</v>
      </c>
      <c r="C17" s="32" t="s">
        <v>19</v>
      </c>
      <c r="D17" s="17" t="s">
        <v>54</v>
      </c>
      <c r="E17" s="17" t="s">
        <v>134</v>
      </c>
      <c r="F17" s="26" t="s">
        <v>37</v>
      </c>
      <c r="G17" s="17" t="s">
        <v>135</v>
      </c>
      <c r="H17" s="24" t="s">
        <v>42</v>
      </c>
      <c r="I17" s="24" t="s">
        <v>46</v>
      </c>
      <c r="J17" s="28"/>
      <c r="K17" s="28"/>
    </row>
    <row r="18">
      <c r="A18" s="4">
        <v>16.0</v>
      </c>
      <c r="B18" s="14" t="s">
        <v>137</v>
      </c>
      <c r="C18" s="14" t="s">
        <v>138</v>
      </c>
      <c r="D18" s="17" t="s">
        <v>139</v>
      </c>
      <c r="E18" s="17" t="s">
        <v>55</v>
      </c>
      <c r="F18" s="26" t="s">
        <v>37</v>
      </c>
      <c r="G18" s="17" t="s">
        <v>141</v>
      </c>
      <c r="H18" s="24" t="s">
        <v>42</v>
      </c>
      <c r="I18" s="24" t="s">
        <v>46</v>
      </c>
      <c r="J18" s="28"/>
      <c r="K18" s="28"/>
    </row>
    <row r="19">
      <c r="A19" s="4">
        <v>17.0</v>
      </c>
      <c r="B19" s="14" t="s">
        <v>143</v>
      </c>
      <c r="C19" s="14" t="s">
        <v>58</v>
      </c>
      <c r="D19" s="17" t="s">
        <v>54</v>
      </c>
      <c r="E19" s="17" t="s">
        <v>144</v>
      </c>
      <c r="F19" s="26" t="s">
        <v>37</v>
      </c>
      <c r="G19" s="27" t="s">
        <v>146</v>
      </c>
      <c r="H19" s="24" t="s">
        <v>42</v>
      </c>
      <c r="I19" s="24" t="s">
        <v>46</v>
      </c>
      <c r="J19" s="28"/>
      <c r="K19" s="28"/>
    </row>
    <row r="20">
      <c r="A20" s="4">
        <v>18.0</v>
      </c>
      <c r="B20" s="14" t="s">
        <v>148</v>
      </c>
      <c r="C20" s="14" t="s">
        <v>27</v>
      </c>
      <c r="D20" s="17" t="s">
        <v>72</v>
      </c>
      <c r="E20" s="17" t="s">
        <v>149</v>
      </c>
      <c r="F20" s="26" t="s">
        <v>37</v>
      </c>
      <c r="G20" s="17" t="s">
        <v>135</v>
      </c>
      <c r="H20" s="24" t="s">
        <v>42</v>
      </c>
      <c r="I20" s="24" t="s">
        <v>46</v>
      </c>
      <c r="J20" s="28"/>
      <c r="K20" s="28"/>
    </row>
    <row r="21">
      <c r="A21" s="4">
        <v>19.0</v>
      </c>
      <c r="B21" s="14" t="s">
        <v>151</v>
      </c>
      <c r="C21" s="14" t="s">
        <v>113</v>
      </c>
      <c r="D21" s="17" t="s">
        <v>72</v>
      </c>
      <c r="E21" s="17" t="s">
        <v>55</v>
      </c>
      <c r="F21" s="26" t="s">
        <v>37</v>
      </c>
      <c r="G21" s="17" t="s">
        <v>152</v>
      </c>
      <c r="H21" s="24" t="s">
        <v>42</v>
      </c>
      <c r="I21" s="24" t="s">
        <v>46</v>
      </c>
      <c r="J21" s="28"/>
      <c r="K21" s="28"/>
    </row>
    <row r="22">
      <c r="A22" s="4">
        <v>20.0</v>
      </c>
      <c r="B22" s="32" t="s">
        <v>153</v>
      </c>
      <c r="C22" s="32" t="s">
        <v>154</v>
      </c>
      <c r="D22" s="26" t="s">
        <v>155</v>
      </c>
      <c r="E22" s="26" t="s">
        <v>65</v>
      </c>
      <c r="F22" s="26" t="s">
        <v>37</v>
      </c>
      <c r="G22" s="26" t="s">
        <v>67</v>
      </c>
      <c r="H22" s="24" t="s">
        <v>69</v>
      </c>
      <c r="I22" s="28"/>
      <c r="J22" s="28"/>
      <c r="K22" s="28"/>
    </row>
    <row r="23">
      <c r="A23" s="4">
        <v>21.0</v>
      </c>
      <c r="B23" s="32" t="s">
        <v>158</v>
      </c>
      <c r="C23" s="32" t="s">
        <v>159</v>
      </c>
      <c r="D23" s="17" t="s">
        <v>139</v>
      </c>
      <c r="E23" s="17" t="s">
        <v>55</v>
      </c>
      <c r="F23" s="26" t="s">
        <v>37</v>
      </c>
      <c r="G23" s="17" t="s">
        <v>160</v>
      </c>
      <c r="H23" s="24" t="s">
        <v>42</v>
      </c>
      <c r="I23" s="24" t="s">
        <v>46</v>
      </c>
      <c r="J23" s="28"/>
      <c r="K23" s="28"/>
    </row>
    <row r="24">
      <c r="A24" s="4">
        <v>22.0</v>
      </c>
      <c r="B24" s="14" t="s">
        <v>162</v>
      </c>
      <c r="C24" s="14" t="s">
        <v>163</v>
      </c>
      <c r="D24" s="17" t="s">
        <v>72</v>
      </c>
      <c r="E24" s="17" t="s">
        <v>149</v>
      </c>
      <c r="F24" s="26" t="s">
        <v>37</v>
      </c>
      <c r="G24" s="17" t="s">
        <v>135</v>
      </c>
      <c r="H24" s="24" t="s">
        <v>42</v>
      </c>
      <c r="I24" s="24" t="s">
        <v>46</v>
      </c>
      <c r="J24" s="28"/>
      <c r="K24" s="28"/>
    </row>
    <row r="25">
      <c r="A25" s="4">
        <v>23.0</v>
      </c>
      <c r="B25" s="14" t="s">
        <v>165</v>
      </c>
      <c r="C25" s="14" t="s">
        <v>166</v>
      </c>
      <c r="D25" s="17" t="s">
        <v>167</v>
      </c>
      <c r="E25" s="17" t="s">
        <v>168</v>
      </c>
      <c r="F25" s="26" t="s">
        <v>37</v>
      </c>
      <c r="G25" s="17" t="s">
        <v>169</v>
      </c>
      <c r="H25" s="24" t="s">
        <v>69</v>
      </c>
      <c r="I25" s="24" t="s">
        <v>46</v>
      </c>
      <c r="J25" s="28"/>
      <c r="K25" s="28"/>
    </row>
    <row r="26">
      <c r="A26" s="4">
        <v>24.0</v>
      </c>
      <c r="B26" s="32" t="s">
        <v>172</v>
      </c>
      <c r="C26" s="32" t="s">
        <v>19</v>
      </c>
      <c r="D26" s="17" t="s">
        <v>72</v>
      </c>
      <c r="E26" s="17" t="s">
        <v>174</v>
      </c>
      <c r="F26" s="26" t="s">
        <v>37</v>
      </c>
      <c r="G26" s="17" t="s">
        <v>135</v>
      </c>
      <c r="H26" s="24" t="s">
        <v>42</v>
      </c>
      <c r="I26" s="24" t="s">
        <v>46</v>
      </c>
      <c r="J26" s="28"/>
      <c r="K26" s="28"/>
    </row>
    <row r="27">
      <c r="A27" s="4">
        <v>25.0</v>
      </c>
      <c r="B27" s="32" t="s">
        <v>176</v>
      </c>
      <c r="C27" s="32" t="s">
        <v>177</v>
      </c>
      <c r="D27" s="17" t="s">
        <v>20</v>
      </c>
      <c r="E27" s="17" t="s">
        <v>55</v>
      </c>
      <c r="F27" s="26" t="s">
        <v>37</v>
      </c>
      <c r="G27" s="17" t="s">
        <v>105</v>
      </c>
      <c r="H27" s="24" t="s">
        <v>42</v>
      </c>
      <c r="I27" s="24" t="s">
        <v>46</v>
      </c>
      <c r="J27" s="28"/>
      <c r="K27" s="28"/>
    </row>
    <row r="28">
      <c r="A28" s="4">
        <v>26.0</v>
      </c>
      <c r="B28" s="32" t="s">
        <v>179</v>
      </c>
      <c r="C28" s="32" t="s">
        <v>19</v>
      </c>
      <c r="D28" s="17" t="s">
        <v>20</v>
      </c>
      <c r="E28" s="17" t="s">
        <v>23</v>
      </c>
      <c r="F28" s="26" t="s">
        <v>37</v>
      </c>
      <c r="G28" s="17" t="s">
        <v>39</v>
      </c>
      <c r="H28" s="24" t="s">
        <v>42</v>
      </c>
      <c r="I28" s="24" t="s">
        <v>46</v>
      </c>
      <c r="J28" s="28"/>
      <c r="K28" s="28"/>
    </row>
    <row r="29">
      <c r="A29" s="4">
        <v>27.0</v>
      </c>
      <c r="B29" s="17" t="s">
        <v>48</v>
      </c>
      <c r="C29" s="17" t="s">
        <v>32</v>
      </c>
      <c r="D29" s="17" t="s">
        <v>108</v>
      </c>
      <c r="E29" s="17" t="s">
        <v>55</v>
      </c>
      <c r="F29" s="26" t="s">
        <v>37</v>
      </c>
      <c r="G29" s="41" t="s">
        <v>184</v>
      </c>
      <c r="H29" s="28"/>
      <c r="I29" s="28"/>
      <c r="J29" s="28"/>
      <c r="K29" s="28"/>
    </row>
    <row r="30">
      <c r="A30" s="4">
        <v>28.0</v>
      </c>
      <c r="B30" s="14" t="s">
        <v>186</v>
      </c>
      <c r="C30" s="14" t="s">
        <v>53</v>
      </c>
      <c r="D30" s="17" t="s">
        <v>20</v>
      </c>
      <c r="E30" s="17" t="s">
        <v>55</v>
      </c>
      <c r="F30" s="26" t="s">
        <v>37</v>
      </c>
      <c r="G30" s="17" t="s">
        <v>105</v>
      </c>
      <c r="H30" s="24" t="s">
        <v>42</v>
      </c>
      <c r="I30" s="24" t="s">
        <v>46</v>
      </c>
      <c r="J30" s="28"/>
      <c r="K30" s="28"/>
    </row>
    <row r="31">
      <c r="A31" s="4">
        <v>29.0</v>
      </c>
      <c r="B31" s="32" t="s">
        <v>188</v>
      </c>
      <c r="C31" s="32" t="s">
        <v>189</v>
      </c>
      <c r="D31" s="17" t="s">
        <v>20</v>
      </c>
      <c r="E31" s="17" t="s">
        <v>55</v>
      </c>
      <c r="F31" s="26" t="s">
        <v>37</v>
      </c>
      <c r="G31" s="17" t="s">
        <v>105</v>
      </c>
      <c r="H31" s="24" t="s">
        <v>42</v>
      </c>
      <c r="I31" s="24" t="s">
        <v>46</v>
      </c>
      <c r="J31" s="28"/>
      <c r="K31" s="28"/>
    </row>
    <row r="32">
      <c r="A32" s="4">
        <v>30.0</v>
      </c>
      <c r="B32" s="14" t="s">
        <v>190</v>
      </c>
      <c r="C32" s="14" t="s">
        <v>191</v>
      </c>
      <c r="D32" s="17"/>
      <c r="E32" s="17"/>
      <c r="F32" s="17"/>
      <c r="G32" s="17"/>
      <c r="H32" s="28"/>
      <c r="I32" s="28"/>
      <c r="J32" s="28"/>
      <c r="K32" s="28"/>
    </row>
    <row r="33">
      <c r="A33" s="4">
        <v>31.0</v>
      </c>
      <c r="B33" s="14" t="s">
        <v>52</v>
      </c>
      <c r="C33" s="31" t="s">
        <v>32</v>
      </c>
      <c r="D33" s="26" t="s">
        <v>63</v>
      </c>
      <c r="E33" s="26" t="s">
        <v>95</v>
      </c>
      <c r="F33" s="26" t="s">
        <v>37</v>
      </c>
      <c r="G33" s="34" t="s">
        <v>97</v>
      </c>
      <c r="H33" s="24" t="s">
        <v>69</v>
      </c>
      <c r="I33" s="28"/>
      <c r="J33" s="28"/>
      <c r="K33" s="28"/>
    </row>
    <row r="34">
      <c r="A34" s="4">
        <v>32.0</v>
      </c>
      <c r="B34" s="32" t="s">
        <v>194</v>
      </c>
      <c r="C34" s="32" t="s">
        <v>154</v>
      </c>
      <c r="D34" s="26" t="s">
        <v>63</v>
      </c>
      <c r="E34" s="26" t="s">
        <v>65</v>
      </c>
      <c r="F34" s="26" t="s">
        <v>37</v>
      </c>
      <c r="G34" s="26" t="s">
        <v>195</v>
      </c>
      <c r="H34" s="24" t="s">
        <v>69</v>
      </c>
      <c r="I34" s="28"/>
      <c r="J34" s="28"/>
      <c r="K34" s="28"/>
    </row>
    <row r="35">
      <c r="A35" s="4">
        <v>33.0</v>
      </c>
      <c r="B35" s="17" t="s">
        <v>197</v>
      </c>
      <c r="C35" s="17" t="s">
        <v>198</v>
      </c>
      <c r="D35" s="17" t="s">
        <v>199</v>
      </c>
      <c r="E35" s="17" t="s">
        <v>200</v>
      </c>
      <c r="F35" s="17"/>
      <c r="G35" s="17" t="s">
        <v>203</v>
      </c>
      <c r="H35" s="24" t="s">
        <v>69</v>
      </c>
      <c r="I35" s="28"/>
      <c r="J35" s="28"/>
      <c r="K35" s="28"/>
    </row>
    <row r="36">
      <c r="A36" s="4">
        <v>34.0</v>
      </c>
      <c r="B36" s="17" t="s">
        <v>204</v>
      </c>
      <c r="C36" s="14" t="s">
        <v>113</v>
      </c>
      <c r="D36" s="17" t="s">
        <v>72</v>
      </c>
      <c r="E36" s="17" t="s">
        <v>55</v>
      </c>
      <c r="F36" s="26" t="s">
        <v>37</v>
      </c>
      <c r="G36" s="19" t="s">
        <v>206</v>
      </c>
      <c r="H36" s="24" t="s">
        <v>42</v>
      </c>
      <c r="I36" s="24" t="s">
        <v>46</v>
      </c>
      <c r="J36" s="28"/>
      <c r="K36" s="28"/>
    </row>
    <row r="37">
      <c r="A37" s="4">
        <v>35.0</v>
      </c>
      <c r="B37" s="32" t="s">
        <v>208</v>
      </c>
      <c r="C37" s="32" t="s">
        <v>209</v>
      </c>
      <c r="D37" s="17" t="s">
        <v>20</v>
      </c>
      <c r="E37" s="17" t="s">
        <v>55</v>
      </c>
      <c r="F37" s="26" t="s">
        <v>37</v>
      </c>
      <c r="G37" s="17" t="s">
        <v>105</v>
      </c>
      <c r="H37" s="24" t="s">
        <v>42</v>
      </c>
      <c r="I37" s="24" t="s">
        <v>46</v>
      </c>
      <c r="J37" s="28"/>
      <c r="K37" s="28"/>
    </row>
    <row r="38">
      <c r="A38" s="4">
        <v>36.0</v>
      </c>
      <c r="B38" s="14" t="s">
        <v>211</v>
      </c>
      <c r="C38" s="14" t="s">
        <v>19</v>
      </c>
      <c r="D38" s="17" t="s">
        <v>20</v>
      </c>
      <c r="E38" s="17" t="s">
        <v>23</v>
      </c>
      <c r="F38" s="26" t="s">
        <v>37</v>
      </c>
      <c r="G38" s="17" t="s">
        <v>39</v>
      </c>
      <c r="H38" s="24" t="s">
        <v>42</v>
      </c>
      <c r="I38" s="24" t="s">
        <v>46</v>
      </c>
      <c r="J38" s="28"/>
      <c r="K38" s="28"/>
    </row>
    <row r="39">
      <c r="A39" s="4">
        <v>37.0</v>
      </c>
      <c r="B39" s="17" t="s">
        <v>214</v>
      </c>
      <c r="C39" s="32" t="s">
        <v>177</v>
      </c>
      <c r="D39" s="17" t="s">
        <v>20</v>
      </c>
      <c r="E39" s="17" t="s">
        <v>55</v>
      </c>
      <c r="F39" s="26" t="s">
        <v>37</v>
      </c>
      <c r="G39" s="17" t="s">
        <v>105</v>
      </c>
      <c r="H39" s="24" t="s">
        <v>42</v>
      </c>
      <c r="I39" s="24" t="s">
        <v>46</v>
      </c>
      <c r="J39" s="28"/>
      <c r="K39" s="28"/>
    </row>
    <row r="40">
      <c r="A40" s="4">
        <v>38.0</v>
      </c>
      <c r="B40" s="17" t="s">
        <v>216</v>
      </c>
      <c r="C40" s="14" t="s">
        <v>58</v>
      </c>
      <c r="D40" s="17" t="s">
        <v>54</v>
      </c>
      <c r="E40" s="17" t="s">
        <v>144</v>
      </c>
      <c r="F40" s="26" t="s">
        <v>37</v>
      </c>
      <c r="G40" s="27" t="s">
        <v>146</v>
      </c>
      <c r="H40" s="24" t="s">
        <v>42</v>
      </c>
      <c r="I40" s="24" t="s">
        <v>46</v>
      </c>
      <c r="J40" s="28"/>
      <c r="K40" s="28"/>
    </row>
    <row r="41">
      <c r="A41" s="4">
        <v>39.0</v>
      </c>
      <c r="B41" s="17" t="s">
        <v>219</v>
      </c>
      <c r="C41" s="32" t="s">
        <v>113</v>
      </c>
      <c r="D41" s="17" t="s">
        <v>54</v>
      </c>
      <c r="E41" s="17" t="s">
        <v>55</v>
      </c>
      <c r="F41" s="26" t="s">
        <v>37</v>
      </c>
      <c r="G41" s="17" t="s">
        <v>222</v>
      </c>
      <c r="H41" s="24" t="s">
        <v>42</v>
      </c>
      <c r="I41" s="24" t="s">
        <v>46</v>
      </c>
      <c r="J41" s="28"/>
      <c r="K41" s="28"/>
    </row>
    <row r="42">
      <c r="A42" s="4">
        <v>40.0</v>
      </c>
      <c r="B42" s="32" t="s">
        <v>224</v>
      </c>
      <c r="C42" s="32" t="s">
        <v>166</v>
      </c>
      <c r="D42" s="17" t="s">
        <v>167</v>
      </c>
      <c r="E42" s="17" t="s">
        <v>168</v>
      </c>
      <c r="F42" s="26" t="s">
        <v>37</v>
      </c>
      <c r="G42" s="17" t="s">
        <v>169</v>
      </c>
      <c r="H42" s="24" t="s">
        <v>69</v>
      </c>
      <c r="I42" s="24" t="s">
        <v>46</v>
      </c>
      <c r="J42" s="28"/>
      <c r="K42" s="28"/>
    </row>
    <row r="43">
      <c r="A43" s="4">
        <v>41.0</v>
      </c>
      <c r="B43" s="14" t="s">
        <v>226</v>
      </c>
      <c r="C43" s="14" t="s">
        <v>177</v>
      </c>
      <c r="D43" s="17" t="s">
        <v>20</v>
      </c>
      <c r="E43" s="17" t="s">
        <v>55</v>
      </c>
      <c r="F43" s="26" t="s">
        <v>37</v>
      </c>
      <c r="G43" s="17" t="s">
        <v>105</v>
      </c>
      <c r="H43" s="24" t="s">
        <v>42</v>
      </c>
      <c r="I43" s="24" t="s">
        <v>46</v>
      </c>
      <c r="J43" s="28"/>
      <c r="K43" s="28"/>
    </row>
    <row r="44">
      <c r="A44" s="4">
        <v>42.0</v>
      </c>
      <c r="B44" s="32" t="s">
        <v>228</v>
      </c>
      <c r="C44" s="32" t="s">
        <v>177</v>
      </c>
      <c r="D44" s="17" t="s">
        <v>20</v>
      </c>
      <c r="E44" s="17" t="s">
        <v>55</v>
      </c>
      <c r="F44" s="26" t="s">
        <v>37</v>
      </c>
      <c r="G44" s="17" t="s">
        <v>105</v>
      </c>
      <c r="H44" s="24" t="s">
        <v>42</v>
      </c>
      <c r="I44" s="24" t="s">
        <v>46</v>
      </c>
      <c r="J44" s="28"/>
      <c r="K44" s="28"/>
    </row>
    <row r="45">
      <c r="A45" s="4">
        <v>43.0</v>
      </c>
      <c r="B45" s="17" t="s">
        <v>232</v>
      </c>
      <c r="C45" s="17"/>
      <c r="D45" s="17" t="s">
        <v>233</v>
      </c>
      <c r="E45" s="17" t="s">
        <v>234</v>
      </c>
      <c r="F45" s="17"/>
      <c r="G45" s="17" t="s">
        <v>236</v>
      </c>
      <c r="H45" s="24" t="s">
        <v>69</v>
      </c>
      <c r="I45" s="28"/>
      <c r="J45" s="28"/>
      <c r="K45" s="28"/>
    </row>
    <row r="46">
      <c r="A46" s="4">
        <v>44.0</v>
      </c>
      <c r="B46" s="17" t="s">
        <v>238</v>
      </c>
      <c r="C46" s="17"/>
      <c r="D46" s="17" t="s">
        <v>239</v>
      </c>
      <c r="E46" s="17" t="s">
        <v>240</v>
      </c>
      <c r="F46" s="17"/>
      <c r="G46" s="17" t="s">
        <v>241</v>
      </c>
      <c r="H46" s="24" t="s">
        <v>69</v>
      </c>
      <c r="I46" s="28"/>
      <c r="J46" s="28"/>
      <c r="K46" s="28"/>
    </row>
    <row r="47">
      <c r="A47" s="4">
        <v>45.0</v>
      </c>
      <c r="B47" s="17" t="s">
        <v>243</v>
      </c>
      <c r="C47" s="17"/>
      <c r="D47" s="17" t="s">
        <v>244</v>
      </c>
      <c r="E47" s="17" t="s">
        <v>200</v>
      </c>
      <c r="F47" s="17"/>
      <c r="G47" s="17" t="s">
        <v>246</v>
      </c>
      <c r="H47" s="24" t="s">
        <v>69</v>
      </c>
      <c r="I47" s="28"/>
      <c r="J47" s="28"/>
      <c r="K47" s="28"/>
    </row>
    <row r="48">
      <c r="A48" s="4">
        <v>46.0</v>
      </c>
      <c r="B48" s="14" t="s">
        <v>247</v>
      </c>
      <c r="C48" s="17"/>
      <c r="D48" s="17" t="s">
        <v>248</v>
      </c>
      <c r="E48" s="17" t="s">
        <v>249</v>
      </c>
      <c r="F48" s="17"/>
      <c r="G48" s="17" t="s">
        <v>251</v>
      </c>
      <c r="H48" s="24" t="s">
        <v>69</v>
      </c>
      <c r="I48" s="28"/>
      <c r="J48" s="28"/>
      <c r="K48" s="28"/>
    </row>
    <row r="49">
      <c r="A49" s="4">
        <v>47.0</v>
      </c>
      <c r="B49" s="14" t="s">
        <v>253</v>
      </c>
      <c r="C49" s="17"/>
      <c r="D49" s="17" t="s">
        <v>244</v>
      </c>
      <c r="E49" s="17" t="s">
        <v>200</v>
      </c>
      <c r="F49" s="17"/>
      <c r="G49" s="17" t="s">
        <v>246</v>
      </c>
      <c r="H49" s="24" t="s">
        <v>69</v>
      </c>
      <c r="I49" s="28"/>
      <c r="J49" s="28"/>
      <c r="K49" s="28"/>
    </row>
    <row r="50">
      <c r="A50" s="4">
        <v>48.0</v>
      </c>
      <c r="B50" s="17" t="s">
        <v>257</v>
      </c>
      <c r="C50" s="17"/>
      <c r="D50" s="17" t="s">
        <v>248</v>
      </c>
      <c r="E50" s="17" t="s">
        <v>249</v>
      </c>
      <c r="F50" s="17"/>
      <c r="G50" s="17" t="s">
        <v>251</v>
      </c>
      <c r="H50" s="24" t="s">
        <v>69</v>
      </c>
      <c r="I50" s="28"/>
      <c r="J50" s="28"/>
      <c r="K50" s="28"/>
    </row>
    <row r="51">
      <c r="A51" s="4">
        <v>49.0</v>
      </c>
      <c r="B51" s="17" t="s">
        <v>260</v>
      </c>
      <c r="C51" s="17"/>
      <c r="D51" s="17" t="s">
        <v>248</v>
      </c>
      <c r="E51" s="17" t="s">
        <v>249</v>
      </c>
      <c r="F51" s="17"/>
      <c r="G51" s="17" t="s">
        <v>251</v>
      </c>
      <c r="H51" s="24" t="s">
        <v>69</v>
      </c>
      <c r="I51" s="28"/>
      <c r="J51" s="28"/>
      <c r="K51" s="28"/>
    </row>
    <row r="52">
      <c r="A52" s="4">
        <v>50.0</v>
      </c>
      <c r="B52" s="17" t="s">
        <v>265</v>
      </c>
      <c r="C52" s="17"/>
      <c r="D52" s="17" t="s">
        <v>266</v>
      </c>
      <c r="E52" s="17" t="s">
        <v>267</v>
      </c>
      <c r="F52" s="17"/>
      <c r="G52" s="17" t="s">
        <v>268</v>
      </c>
      <c r="H52" s="24" t="s">
        <v>69</v>
      </c>
      <c r="I52" s="28"/>
      <c r="J52" s="28"/>
      <c r="K52" s="28"/>
    </row>
    <row r="53">
      <c r="A53" s="4">
        <v>51.0</v>
      </c>
      <c r="B53" s="17" t="s">
        <v>269</v>
      </c>
      <c r="C53" s="17"/>
      <c r="D53" s="17" t="s">
        <v>266</v>
      </c>
      <c r="E53" s="17" t="s">
        <v>267</v>
      </c>
      <c r="F53" s="17"/>
      <c r="G53" s="17" t="s">
        <v>268</v>
      </c>
      <c r="H53" s="24" t="s">
        <v>69</v>
      </c>
      <c r="I53" s="28"/>
      <c r="J53" s="28"/>
      <c r="K53" s="28"/>
    </row>
    <row r="54">
      <c r="A54" s="4">
        <v>52.0</v>
      </c>
      <c r="B54" s="17" t="s">
        <v>274</v>
      </c>
      <c r="C54" s="17"/>
      <c r="D54" s="17" t="s">
        <v>239</v>
      </c>
      <c r="E54" s="17" t="s">
        <v>240</v>
      </c>
      <c r="F54" s="17"/>
      <c r="G54" s="17" t="s">
        <v>275</v>
      </c>
      <c r="H54" s="24" t="s">
        <v>69</v>
      </c>
      <c r="I54" s="28"/>
      <c r="J54" s="28"/>
      <c r="K54" s="28"/>
    </row>
    <row r="55">
      <c r="A55" s="4">
        <v>53.0</v>
      </c>
      <c r="B55" s="17" t="s">
        <v>279</v>
      </c>
      <c r="C55" s="17"/>
      <c r="D55" s="17" t="s">
        <v>248</v>
      </c>
      <c r="E55" s="17" t="s">
        <v>249</v>
      </c>
      <c r="F55" s="17"/>
      <c r="G55" s="17" t="s">
        <v>251</v>
      </c>
      <c r="H55" s="24" t="s">
        <v>69</v>
      </c>
      <c r="I55" s="28"/>
      <c r="J55" s="28"/>
      <c r="K55" s="28"/>
    </row>
    <row r="56">
      <c r="A56" s="4">
        <v>54.0</v>
      </c>
      <c r="B56" s="17" t="s">
        <v>282</v>
      </c>
      <c r="C56" s="17"/>
      <c r="D56" s="17" t="s">
        <v>283</v>
      </c>
      <c r="E56" s="17" t="s">
        <v>280</v>
      </c>
      <c r="F56" s="17"/>
      <c r="G56" s="17" t="s">
        <v>285</v>
      </c>
      <c r="H56" s="24" t="s">
        <v>69</v>
      </c>
      <c r="I56" s="28"/>
      <c r="J56" s="28"/>
      <c r="K56" s="28"/>
    </row>
    <row r="57">
      <c r="A57" s="4">
        <v>55.0</v>
      </c>
      <c r="B57" s="17" t="s">
        <v>284</v>
      </c>
      <c r="C57" s="17"/>
      <c r="D57" s="17" t="s">
        <v>20</v>
      </c>
      <c r="E57" s="17" t="s">
        <v>287</v>
      </c>
      <c r="F57" s="26" t="s">
        <v>37</v>
      </c>
      <c r="G57" s="19" t="s">
        <v>288</v>
      </c>
      <c r="H57" s="24" t="s">
        <v>69</v>
      </c>
      <c r="I57" s="24" t="s">
        <v>46</v>
      </c>
      <c r="J57" s="28"/>
      <c r="K57" s="28"/>
    </row>
    <row r="58">
      <c r="A58" s="4">
        <v>56.0</v>
      </c>
      <c r="B58" s="17" t="s">
        <v>57</v>
      </c>
      <c r="C58" s="17"/>
      <c r="D58" s="17" t="s">
        <v>290</v>
      </c>
      <c r="E58" s="17" t="s">
        <v>291</v>
      </c>
      <c r="F58" s="26" t="s">
        <v>37</v>
      </c>
      <c r="G58" s="41" t="s">
        <v>292</v>
      </c>
      <c r="H58" s="24" t="s">
        <v>69</v>
      </c>
      <c r="I58" s="28"/>
      <c r="J58" s="28"/>
      <c r="K58" s="28"/>
    </row>
    <row r="59">
      <c r="A59" s="4">
        <v>57.0</v>
      </c>
      <c r="B59" s="17" t="s">
        <v>295</v>
      </c>
      <c r="C59" s="17"/>
      <c r="D59" s="17" t="s">
        <v>20</v>
      </c>
      <c r="E59" s="17" t="s">
        <v>55</v>
      </c>
      <c r="F59" s="26" t="s">
        <v>37</v>
      </c>
      <c r="G59" s="17" t="s">
        <v>105</v>
      </c>
      <c r="H59" s="24" t="s">
        <v>42</v>
      </c>
      <c r="I59" s="24" t="s">
        <v>46</v>
      </c>
      <c r="J59" s="28"/>
      <c r="K59" s="28"/>
    </row>
    <row r="60">
      <c r="A60" s="4">
        <v>58.0</v>
      </c>
      <c r="B60" s="17" t="s">
        <v>60</v>
      </c>
      <c r="C60" s="17"/>
      <c r="D60" s="17" t="s">
        <v>290</v>
      </c>
      <c r="E60" s="17" t="s">
        <v>296</v>
      </c>
      <c r="F60" s="26" t="s">
        <v>37</v>
      </c>
      <c r="G60" s="41" t="s">
        <v>297</v>
      </c>
      <c r="H60" s="24" t="s">
        <v>69</v>
      </c>
      <c r="I60" s="28"/>
      <c r="J60" s="28"/>
      <c r="K60" s="28"/>
    </row>
    <row r="61">
      <c r="A61" s="4">
        <v>59.0</v>
      </c>
      <c r="B61" s="17" t="s">
        <v>298</v>
      </c>
      <c r="C61" s="17"/>
      <c r="D61" s="17" t="s">
        <v>299</v>
      </c>
      <c r="E61" s="17" t="s">
        <v>300</v>
      </c>
      <c r="F61" s="17"/>
      <c r="G61" s="17" t="s">
        <v>301</v>
      </c>
      <c r="H61" s="28"/>
      <c r="I61" s="28"/>
      <c r="J61" s="28"/>
      <c r="K61" s="28"/>
    </row>
    <row r="62">
      <c r="A62" s="4">
        <v>60.0</v>
      </c>
      <c r="B62" s="17" t="s">
        <v>165</v>
      </c>
      <c r="C62" s="17"/>
      <c r="D62" s="17" t="s">
        <v>167</v>
      </c>
      <c r="E62" s="17" t="s">
        <v>168</v>
      </c>
      <c r="F62" s="26" t="s">
        <v>37</v>
      </c>
      <c r="G62" s="17" t="s">
        <v>169</v>
      </c>
      <c r="H62" s="24" t="s">
        <v>69</v>
      </c>
      <c r="I62" s="24" t="s">
        <v>46</v>
      </c>
      <c r="J62" s="28"/>
      <c r="K62" s="28"/>
    </row>
    <row r="63">
      <c r="A63" s="4">
        <v>61.0</v>
      </c>
      <c r="B63" s="17" t="s">
        <v>66</v>
      </c>
      <c r="C63" s="17"/>
      <c r="D63" s="17" t="s">
        <v>308</v>
      </c>
      <c r="E63" s="17" t="s">
        <v>280</v>
      </c>
      <c r="F63" s="26" t="s">
        <v>37</v>
      </c>
      <c r="G63" s="41" t="s">
        <v>309</v>
      </c>
      <c r="H63" s="28"/>
      <c r="I63" s="28"/>
      <c r="J63" s="28"/>
      <c r="K63" s="28"/>
    </row>
    <row r="64">
      <c r="A64" s="4">
        <v>62.0</v>
      </c>
      <c r="B64" s="17" t="s">
        <v>316</v>
      </c>
      <c r="C64" s="17"/>
      <c r="D64" s="17" t="s">
        <v>20</v>
      </c>
      <c r="E64" s="17" t="s">
        <v>287</v>
      </c>
      <c r="F64" s="26" t="s">
        <v>37</v>
      </c>
      <c r="G64" s="19" t="s">
        <v>288</v>
      </c>
      <c r="H64" s="24" t="s">
        <v>69</v>
      </c>
      <c r="I64" s="24" t="s">
        <v>46</v>
      </c>
      <c r="J64" s="28"/>
      <c r="K64" s="28"/>
    </row>
    <row r="65">
      <c r="A65" s="4">
        <v>63.0</v>
      </c>
      <c r="B65" s="17" t="s">
        <v>317</v>
      </c>
      <c r="C65" s="17"/>
      <c r="D65" s="17" t="s">
        <v>244</v>
      </c>
      <c r="E65" s="17" t="s">
        <v>280</v>
      </c>
      <c r="F65" s="17"/>
      <c r="G65" s="17" t="s">
        <v>318</v>
      </c>
      <c r="H65" s="24" t="s">
        <v>69</v>
      </c>
      <c r="I65" s="28"/>
      <c r="J65" s="28"/>
      <c r="K65" s="28"/>
    </row>
    <row r="66">
      <c r="A66" s="4">
        <v>64.0</v>
      </c>
      <c r="B66" s="17" t="s">
        <v>319</v>
      </c>
      <c r="C66" s="17"/>
      <c r="D66" s="17" t="s">
        <v>320</v>
      </c>
      <c r="E66" s="17" t="s">
        <v>321</v>
      </c>
      <c r="F66" s="17"/>
      <c r="G66" s="17" t="s">
        <v>322</v>
      </c>
      <c r="H66" s="24" t="s">
        <v>69</v>
      </c>
      <c r="I66" s="28"/>
      <c r="J66" s="28"/>
      <c r="K66" s="28"/>
    </row>
    <row r="67">
      <c r="A67" s="4">
        <v>65.0</v>
      </c>
      <c r="B67" s="68" t="s">
        <v>261</v>
      </c>
      <c r="C67" s="70" t="s">
        <v>94</v>
      </c>
      <c r="D67" s="68" t="s">
        <v>20</v>
      </c>
      <c r="E67" s="26" t="s">
        <v>55</v>
      </c>
      <c r="F67" s="26" t="s">
        <v>37</v>
      </c>
      <c r="G67" s="26" t="s">
        <v>273</v>
      </c>
      <c r="H67" s="28"/>
      <c r="I67" s="28"/>
      <c r="J67" s="28"/>
      <c r="K67" s="28"/>
    </row>
    <row r="68">
      <c r="A68" s="4">
        <v>66.0</v>
      </c>
      <c r="B68" s="71" t="s">
        <v>70</v>
      </c>
      <c r="C68" s="69" t="s">
        <v>68</v>
      </c>
      <c r="D68" s="26" t="s">
        <v>167</v>
      </c>
      <c r="E68" s="26" t="s">
        <v>168</v>
      </c>
      <c r="F68" s="26" t="s">
        <v>37</v>
      </c>
      <c r="G68" s="34" t="s">
        <v>328</v>
      </c>
      <c r="H68" s="24" t="s">
        <v>69</v>
      </c>
      <c r="I68" s="24" t="s">
        <v>46</v>
      </c>
      <c r="J68" s="28"/>
      <c r="K68" s="28"/>
    </row>
    <row r="69">
      <c r="A69" s="4">
        <v>67.0</v>
      </c>
      <c r="B69" s="73" t="s">
        <v>22</v>
      </c>
      <c r="C69" s="69" t="s">
        <v>19</v>
      </c>
      <c r="D69" s="73" t="s">
        <v>167</v>
      </c>
      <c r="E69" s="73" t="s">
        <v>168</v>
      </c>
      <c r="F69" s="26" t="s">
        <v>37</v>
      </c>
      <c r="G69" s="34" t="s">
        <v>329</v>
      </c>
      <c r="H69" s="24" t="s">
        <v>69</v>
      </c>
      <c r="I69" s="24" t="s">
        <v>46</v>
      </c>
      <c r="J69" s="28"/>
      <c r="K69" s="28"/>
    </row>
    <row r="70">
      <c r="A70" s="4">
        <v>68.0</v>
      </c>
      <c r="B70" s="76" t="s">
        <v>74</v>
      </c>
      <c r="C70" s="69" t="s">
        <v>19</v>
      </c>
      <c r="D70" s="73" t="s">
        <v>167</v>
      </c>
      <c r="E70" s="73" t="s">
        <v>168</v>
      </c>
      <c r="F70" s="26" t="s">
        <v>37</v>
      </c>
      <c r="G70" s="34" t="s">
        <v>335</v>
      </c>
      <c r="H70" s="24" t="s">
        <v>69</v>
      </c>
      <c r="I70" s="24" t="s">
        <v>46</v>
      </c>
      <c r="J70" s="28"/>
      <c r="K70" s="28"/>
    </row>
    <row r="71">
      <c r="A71" s="4">
        <v>69.0</v>
      </c>
      <c r="B71" s="76" t="s">
        <v>75</v>
      </c>
      <c r="C71" s="69" t="s">
        <v>19</v>
      </c>
      <c r="D71" s="73" t="s">
        <v>167</v>
      </c>
      <c r="E71" s="73" t="s">
        <v>168</v>
      </c>
      <c r="F71" s="26" t="s">
        <v>37</v>
      </c>
      <c r="G71" s="34" t="s">
        <v>335</v>
      </c>
      <c r="H71" s="24" t="s">
        <v>69</v>
      </c>
      <c r="I71" s="24" t="s">
        <v>46</v>
      </c>
      <c r="J71" s="28"/>
      <c r="K71" s="28"/>
    </row>
    <row r="72">
      <c r="A72" s="4">
        <v>70.0</v>
      </c>
      <c r="B72" s="76" t="s">
        <v>77</v>
      </c>
      <c r="C72" s="69" t="s">
        <v>19</v>
      </c>
      <c r="D72" s="73" t="s">
        <v>167</v>
      </c>
      <c r="E72" s="73" t="s">
        <v>168</v>
      </c>
      <c r="F72" s="26" t="s">
        <v>37</v>
      </c>
      <c r="G72" s="34" t="s">
        <v>335</v>
      </c>
      <c r="H72" s="24" t="s">
        <v>69</v>
      </c>
      <c r="I72" s="24" t="s">
        <v>46</v>
      </c>
      <c r="J72" s="28"/>
      <c r="K72" s="28"/>
    </row>
    <row r="73">
      <c r="A73" s="4">
        <v>71.0</v>
      </c>
      <c r="B73" s="76" t="s">
        <v>79</v>
      </c>
      <c r="C73" s="69" t="s">
        <v>68</v>
      </c>
      <c r="D73" s="26" t="s">
        <v>63</v>
      </c>
      <c r="E73" s="24" t="s">
        <v>129</v>
      </c>
      <c r="F73" s="26" t="s">
        <v>37</v>
      </c>
      <c r="G73" s="81">
        <v>46247.0</v>
      </c>
      <c r="H73" s="24" t="s">
        <v>69</v>
      </c>
      <c r="I73" s="24" t="s">
        <v>46</v>
      </c>
      <c r="J73" s="28"/>
      <c r="K73" s="28"/>
    </row>
    <row r="74">
      <c r="A74" s="4">
        <v>72.0</v>
      </c>
      <c r="B74" s="26" t="s">
        <v>342</v>
      </c>
      <c r="C74" s="10" t="s">
        <v>32</v>
      </c>
      <c r="D74" s="26" t="s">
        <v>72</v>
      </c>
      <c r="E74" s="26" t="s">
        <v>126</v>
      </c>
      <c r="F74" s="17"/>
      <c r="G74" s="26" t="s">
        <v>343</v>
      </c>
      <c r="H74" s="24" t="s">
        <v>42</v>
      </c>
      <c r="I74" s="28"/>
      <c r="J74" s="28"/>
      <c r="K74" s="28"/>
      <c r="L74" s="30">
        <v>1.2020223140155E13</v>
      </c>
    </row>
    <row r="75">
      <c r="A75" s="4">
        <v>73.0</v>
      </c>
      <c r="B75" s="26" t="s">
        <v>344</v>
      </c>
      <c r="C75" s="10" t="s">
        <v>32</v>
      </c>
      <c r="D75" s="26" t="s">
        <v>72</v>
      </c>
      <c r="E75" s="26" t="s">
        <v>126</v>
      </c>
      <c r="F75" s="17"/>
      <c r="G75" s="26" t="s">
        <v>343</v>
      </c>
      <c r="H75" s="24" t="s">
        <v>42</v>
      </c>
      <c r="I75" s="28"/>
      <c r="J75" s="28"/>
      <c r="K75" s="28"/>
      <c r="L75" s="30">
        <v>1.2020223120001E13</v>
      </c>
    </row>
    <row r="76">
      <c r="A76" s="4">
        <v>74.0</v>
      </c>
      <c r="B76" s="26" t="s">
        <v>349</v>
      </c>
      <c r="C76" s="10" t="s">
        <v>32</v>
      </c>
      <c r="D76" s="26" t="s">
        <v>72</v>
      </c>
      <c r="E76" s="26" t="s">
        <v>126</v>
      </c>
      <c r="F76" s="17"/>
      <c r="G76" s="26" t="s">
        <v>343</v>
      </c>
      <c r="H76" s="24" t="s">
        <v>42</v>
      </c>
      <c r="I76" s="28"/>
      <c r="J76" s="28"/>
      <c r="K76" s="28"/>
      <c r="L76" s="30">
        <v>1.2020223140137E13</v>
      </c>
    </row>
    <row r="77">
      <c r="A77" s="4">
        <v>75.0</v>
      </c>
      <c r="B77" s="17"/>
      <c r="C77" s="26"/>
      <c r="D77" s="17"/>
      <c r="E77" s="17"/>
      <c r="F77" s="17"/>
      <c r="G77" s="26"/>
      <c r="H77" s="28"/>
      <c r="I77" s="28"/>
      <c r="J77" s="28"/>
      <c r="K77" s="28"/>
    </row>
    <row r="78">
      <c r="A78" s="4">
        <v>76.0</v>
      </c>
      <c r="B78" s="17"/>
      <c r="C78" s="17"/>
      <c r="D78" s="17"/>
      <c r="E78" s="17"/>
      <c r="F78" s="17"/>
      <c r="G78" s="17"/>
      <c r="H78" s="28"/>
      <c r="I78" s="28"/>
      <c r="J78" s="28"/>
      <c r="K78" s="28"/>
    </row>
    <row r="79">
      <c r="A79" s="4">
        <v>77.0</v>
      </c>
      <c r="B79" s="17"/>
      <c r="C79" s="17"/>
      <c r="D79" s="17"/>
      <c r="E79" s="17"/>
      <c r="F79" s="17"/>
      <c r="G79" s="17"/>
      <c r="H79" s="28"/>
      <c r="I79" s="28"/>
      <c r="J79" s="28"/>
      <c r="K79" s="28"/>
    </row>
    <row r="80">
      <c r="A80" s="4">
        <v>78.0</v>
      </c>
      <c r="B80" s="32"/>
      <c r="C80" s="89"/>
      <c r="D80" s="89"/>
      <c r="E80" s="17"/>
      <c r="F80" s="17"/>
      <c r="G80" s="17"/>
      <c r="H80" s="28"/>
      <c r="I80" s="28"/>
      <c r="J80" s="28"/>
      <c r="K80" s="28"/>
    </row>
    <row r="81">
      <c r="A81" s="4">
        <v>79.0</v>
      </c>
      <c r="B81" s="32"/>
      <c r="C81" s="89"/>
      <c r="D81" s="89"/>
      <c r="E81" s="17"/>
      <c r="F81" s="17"/>
      <c r="G81" s="17"/>
      <c r="H81" s="28"/>
      <c r="I81" s="28"/>
      <c r="J81" s="28"/>
      <c r="K81" s="28"/>
    </row>
    <row r="82">
      <c r="A82" s="4">
        <v>80.0</v>
      </c>
      <c r="B82" s="32"/>
      <c r="C82" s="89"/>
      <c r="D82" s="89"/>
      <c r="E82" s="17"/>
      <c r="F82" s="17"/>
      <c r="G82" s="17"/>
      <c r="H82" s="28"/>
      <c r="I82" s="28"/>
      <c r="J82" s="28"/>
      <c r="K82" s="28"/>
    </row>
    <row r="83">
      <c r="A83" s="4">
        <v>81.0</v>
      </c>
      <c r="B83" s="17"/>
      <c r="C83" s="17"/>
      <c r="D83" s="17"/>
      <c r="E83" s="17"/>
      <c r="F83" s="17"/>
      <c r="G83" s="17"/>
      <c r="H83" s="28"/>
      <c r="I83" s="28"/>
      <c r="J83" s="28"/>
      <c r="K83" s="28"/>
    </row>
    <row r="84">
      <c r="A84" s="4">
        <v>82.0</v>
      </c>
      <c r="B84" s="17"/>
      <c r="C84" s="17"/>
      <c r="D84" s="17"/>
      <c r="E84" s="17"/>
      <c r="F84" s="17"/>
      <c r="G84" s="17"/>
      <c r="H84" s="28"/>
      <c r="I84" s="28"/>
      <c r="J84" s="28"/>
      <c r="K84" s="28"/>
    </row>
    <row r="85">
      <c r="A85" s="4">
        <v>83.0</v>
      </c>
      <c r="B85" s="17"/>
      <c r="C85" s="17"/>
      <c r="D85" s="17"/>
      <c r="E85" s="17"/>
      <c r="F85" s="17"/>
      <c r="G85" s="17"/>
      <c r="H85" s="28"/>
      <c r="I85" s="28"/>
      <c r="J85" s="28"/>
      <c r="K85" s="28"/>
    </row>
    <row r="86">
      <c r="A86" s="4">
        <v>84.0</v>
      </c>
      <c r="B86" s="17"/>
      <c r="C86" s="17"/>
      <c r="D86" s="17"/>
      <c r="E86" s="17"/>
      <c r="F86" s="17"/>
      <c r="G86" s="17"/>
      <c r="H86" s="28"/>
      <c r="I86" s="28"/>
      <c r="J86" s="28"/>
      <c r="K86" s="28"/>
    </row>
    <row r="87">
      <c r="A87" s="4">
        <v>85.0</v>
      </c>
      <c r="B87" s="17"/>
      <c r="C87" s="17"/>
      <c r="D87" s="17"/>
      <c r="E87" s="17"/>
      <c r="F87" s="17"/>
      <c r="G87" s="17"/>
      <c r="H87" s="28"/>
      <c r="I87" s="28"/>
      <c r="J87" s="28"/>
      <c r="K87" s="28"/>
    </row>
    <row r="88">
      <c r="A88" s="4">
        <v>86.0</v>
      </c>
      <c r="B88" s="17"/>
      <c r="C88" s="17"/>
      <c r="D88" s="17"/>
      <c r="E88" s="17"/>
      <c r="F88" s="17"/>
      <c r="G88" s="17"/>
      <c r="H88" s="28"/>
      <c r="I88" s="28"/>
      <c r="J88" s="28"/>
      <c r="K88" s="28"/>
    </row>
    <row r="89">
      <c r="A89" s="4">
        <v>87.0</v>
      </c>
      <c r="B89" s="17"/>
      <c r="C89" s="17"/>
      <c r="D89" s="17"/>
      <c r="E89" s="17"/>
      <c r="F89" s="17"/>
      <c r="G89" s="17"/>
      <c r="H89" s="28"/>
      <c r="I89" s="28"/>
      <c r="J89" s="28"/>
      <c r="K89" s="28"/>
    </row>
    <row r="90">
      <c r="A90" s="4">
        <v>88.0</v>
      </c>
      <c r="B90" s="17"/>
      <c r="C90" s="17"/>
      <c r="D90" s="17"/>
      <c r="E90" s="17"/>
      <c r="F90" s="17"/>
      <c r="G90" s="17"/>
      <c r="H90" s="28"/>
      <c r="I90" s="28"/>
      <c r="J90" s="28"/>
      <c r="K90" s="28"/>
    </row>
    <row r="91">
      <c r="A91" s="4">
        <v>89.0</v>
      </c>
      <c r="B91" s="17"/>
      <c r="C91" s="17"/>
      <c r="D91" s="17"/>
      <c r="E91" s="17"/>
      <c r="F91" s="17"/>
      <c r="G91" s="17"/>
      <c r="H91" s="28"/>
      <c r="I91" s="28"/>
      <c r="J91" s="28"/>
      <c r="K91" s="28"/>
    </row>
    <row r="92">
      <c r="A92" s="4">
        <v>90.0</v>
      </c>
      <c r="B92" s="17"/>
      <c r="C92" s="17"/>
      <c r="D92" s="17"/>
      <c r="E92" s="17"/>
      <c r="F92" s="17"/>
      <c r="G92" s="17"/>
      <c r="H92" s="28"/>
      <c r="I92" s="28"/>
      <c r="J92" s="28"/>
      <c r="K92" s="28"/>
    </row>
    <row r="93">
      <c r="A93" s="4">
        <v>91.0</v>
      </c>
      <c r="B93" s="17"/>
      <c r="C93" s="17"/>
      <c r="D93" s="17"/>
      <c r="E93" s="17"/>
      <c r="F93" s="17"/>
      <c r="G93" s="17"/>
      <c r="H93" s="28"/>
      <c r="I93" s="28"/>
      <c r="J93" s="28"/>
      <c r="K93" s="28"/>
    </row>
    <row r="94">
      <c r="A94" s="4">
        <v>92.0</v>
      </c>
      <c r="B94" s="17"/>
      <c r="C94" s="17"/>
      <c r="D94" s="17"/>
      <c r="E94" s="17"/>
      <c r="F94" s="17"/>
      <c r="G94" s="17"/>
      <c r="H94" s="28"/>
      <c r="I94" s="28"/>
      <c r="J94" s="28"/>
      <c r="K94" s="28"/>
    </row>
    <row r="95">
      <c r="A95" s="4">
        <v>93.0</v>
      </c>
      <c r="B95" s="17"/>
      <c r="C95" s="17"/>
      <c r="D95" s="17"/>
      <c r="E95" s="17"/>
      <c r="F95" s="17"/>
      <c r="G95" s="17"/>
      <c r="H95" s="28"/>
      <c r="I95" s="28"/>
      <c r="J95" s="28"/>
      <c r="K95" s="28"/>
    </row>
    <row r="96">
      <c r="A96" s="4">
        <v>94.0</v>
      </c>
      <c r="B96" s="17"/>
      <c r="C96" s="17"/>
      <c r="D96" s="17"/>
      <c r="E96" s="17"/>
      <c r="F96" s="17"/>
      <c r="G96" s="17"/>
      <c r="H96" s="28"/>
      <c r="I96" s="28"/>
      <c r="J96" s="28"/>
      <c r="K96" s="28"/>
    </row>
    <row r="97">
      <c r="A97" s="4">
        <v>95.0</v>
      </c>
      <c r="B97" s="17"/>
      <c r="C97" s="17"/>
      <c r="D97" s="17"/>
      <c r="E97" s="17"/>
      <c r="F97" s="17"/>
      <c r="G97" s="17"/>
      <c r="H97" s="28"/>
      <c r="I97" s="28"/>
      <c r="J97" s="28"/>
      <c r="K97" s="28"/>
    </row>
    <row r="98">
      <c r="A98" s="4">
        <v>96.0</v>
      </c>
      <c r="B98" s="17"/>
      <c r="C98" s="17"/>
      <c r="D98" s="17"/>
      <c r="E98" s="17"/>
      <c r="F98" s="17"/>
      <c r="G98" s="17"/>
      <c r="H98" s="28"/>
      <c r="I98" s="28"/>
      <c r="J98" s="28"/>
      <c r="K98" s="28"/>
    </row>
    <row r="99">
      <c r="A99" s="4">
        <v>97.0</v>
      </c>
      <c r="B99" s="17"/>
      <c r="C99" s="17"/>
      <c r="D99" s="17"/>
      <c r="E99" s="17"/>
      <c r="F99" s="17"/>
      <c r="G99" s="17"/>
      <c r="H99" s="28"/>
      <c r="I99" s="28"/>
      <c r="J99" s="28"/>
      <c r="K99" s="28"/>
    </row>
    <row r="100">
      <c r="A100" s="4">
        <v>98.0</v>
      </c>
      <c r="B100" s="17"/>
      <c r="C100" s="17"/>
      <c r="D100" s="17"/>
      <c r="E100" s="17"/>
      <c r="F100" s="17"/>
      <c r="G100" s="17"/>
      <c r="H100" s="28"/>
      <c r="I100" s="28"/>
      <c r="J100" s="28"/>
      <c r="K100" s="28"/>
    </row>
    <row r="101">
      <c r="A101" s="4">
        <v>99.0</v>
      </c>
      <c r="B101" s="17"/>
      <c r="C101" s="17"/>
      <c r="D101" s="17"/>
      <c r="E101" s="17"/>
      <c r="F101" s="17"/>
      <c r="G101" s="17"/>
      <c r="H101" s="28"/>
      <c r="I101" s="28"/>
      <c r="J101" s="28"/>
      <c r="K101" s="28"/>
    </row>
    <row r="102">
      <c r="A102" s="4">
        <v>100.0</v>
      </c>
      <c r="B102" s="28"/>
      <c r="C102" s="28"/>
      <c r="D102" s="28"/>
      <c r="E102" s="28"/>
      <c r="F102" s="28"/>
      <c r="G102" s="28"/>
      <c r="H102" s="28"/>
      <c r="I102" s="28"/>
      <c r="J102" s="28"/>
      <c r="K102" s="28"/>
    </row>
    <row r="103">
      <c r="A103" s="4">
        <v>101.0</v>
      </c>
      <c r="B103" s="28"/>
      <c r="C103" s="28"/>
      <c r="D103" s="28"/>
      <c r="E103" s="28"/>
      <c r="F103" s="28"/>
      <c r="G103" s="28"/>
      <c r="H103" s="28"/>
      <c r="I103" s="28"/>
      <c r="J103" s="28"/>
      <c r="K103" s="28"/>
    </row>
    <row r="104">
      <c r="A104" s="4">
        <v>102.0</v>
      </c>
      <c r="B104" s="28"/>
      <c r="C104" s="28"/>
      <c r="D104" s="28"/>
      <c r="E104" s="28"/>
      <c r="F104" s="28"/>
      <c r="G104" s="28"/>
      <c r="H104" s="28"/>
      <c r="I104" s="28"/>
      <c r="J104" s="28"/>
      <c r="K104" s="28"/>
    </row>
    <row r="105">
      <c r="A105" s="4">
        <v>103.0</v>
      </c>
      <c r="B105" s="28"/>
      <c r="C105" s="28"/>
      <c r="D105" s="28"/>
      <c r="E105" s="28"/>
      <c r="F105" s="28"/>
      <c r="G105" s="28"/>
      <c r="H105" s="28"/>
      <c r="I105" s="28"/>
      <c r="J105" s="28"/>
      <c r="K105" s="28"/>
    </row>
    <row r="106">
      <c r="A106" s="4">
        <v>104.0</v>
      </c>
      <c r="B106" s="28"/>
      <c r="C106" s="28"/>
      <c r="D106" s="28"/>
      <c r="E106" s="28"/>
      <c r="F106" s="28"/>
      <c r="G106" s="28"/>
      <c r="H106" s="28"/>
      <c r="I106" s="28"/>
      <c r="J106" s="28"/>
      <c r="K106" s="28"/>
    </row>
    <row r="107">
      <c r="A107" s="4">
        <v>105.0</v>
      </c>
      <c r="B107" s="28"/>
      <c r="C107" s="28"/>
      <c r="D107" s="28"/>
      <c r="E107" s="28"/>
      <c r="F107" s="28"/>
      <c r="G107" s="28"/>
      <c r="H107" s="28"/>
      <c r="I107" s="28"/>
      <c r="J107" s="28"/>
      <c r="K107" s="28"/>
    </row>
    <row r="108">
      <c r="A108" s="4">
        <v>106.0</v>
      </c>
      <c r="B108" s="28"/>
      <c r="C108" s="28"/>
      <c r="D108" s="28"/>
      <c r="E108" s="28"/>
      <c r="F108" s="28"/>
      <c r="G108" s="28"/>
      <c r="H108" s="28"/>
      <c r="I108" s="28"/>
      <c r="J108" s="28"/>
      <c r="K108" s="28"/>
    </row>
    <row r="109">
      <c r="A109" s="4">
        <v>107.0</v>
      </c>
      <c r="B109" s="28"/>
      <c r="C109" s="28"/>
      <c r="D109" s="28"/>
      <c r="E109" s="28"/>
      <c r="F109" s="28"/>
      <c r="G109" s="28"/>
      <c r="H109" s="28"/>
      <c r="I109" s="28"/>
      <c r="J109" s="28"/>
      <c r="K109" s="28"/>
    </row>
    <row r="110">
      <c r="A110" s="4">
        <v>108.0</v>
      </c>
      <c r="B110" s="28"/>
      <c r="C110" s="28"/>
      <c r="D110" s="28"/>
      <c r="E110" s="28"/>
      <c r="F110" s="28"/>
      <c r="G110" s="28"/>
      <c r="H110" s="28"/>
      <c r="I110" s="28"/>
      <c r="J110" s="28"/>
      <c r="K110" s="28"/>
    </row>
    <row r="111">
      <c r="A111" s="4">
        <v>109.0</v>
      </c>
      <c r="B111" s="28"/>
      <c r="C111" s="28"/>
      <c r="D111" s="28"/>
      <c r="E111" s="28"/>
      <c r="F111" s="28"/>
      <c r="G111" s="28"/>
      <c r="H111" s="28"/>
      <c r="I111" s="28"/>
      <c r="J111" s="28"/>
      <c r="K111" s="28"/>
    </row>
    <row r="112">
      <c r="A112" s="4">
        <v>110.0</v>
      </c>
      <c r="B112" s="28"/>
      <c r="C112" s="28"/>
      <c r="D112" s="28"/>
      <c r="E112" s="28"/>
      <c r="F112" s="28"/>
      <c r="G112" s="28"/>
      <c r="H112" s="28"/>
      <c r="I112" s="28"/>
      <c r="J112" s="28"/>
      <c r="K112" s="28"/>
    </row>
    <row r="113">
      <c r="A113" s="4">
        <v>111.0</v>
      </c>
      <c r="B113" s="28"/>
      <c r="C113" s="28"/>
      <c r="D113" s="28"/>
      <c r="E113" s="28"/>
      <c r="F113" s="28"/>
      <c r="G113" s="28"/>
      <c r="H113" s="28"/>
      <c r="I113" s="28"/>
      <c r="J113" s="28"/>
      <c r="K113" s="28"/>
    </row>
    <row r="114">
      <c r="A114" s="4">
        <v>112.0</v>
      </c>
      <c r="B114" s="28"/>
      <c r="C114" s="28"/>
      <c r="D114" s="28"/>
      <c r="E114" s="28"/>
      <c r="F114" s="28"/>
      <c r="G114" s="28"/>
      <c r="H114" s="28"/>
      <c r="I114" s="28"/>
      <c r="J114" s="28"/>
      <c r="K114" s="28"/>
    </row>
    <row r="115">
      <c r="A115" s="4">
        <v>113.0</v>
      </c>
      <c r="B115" s="28"/>
      <c r="C115" s="28"/>
      <c r="D115" s="28"/>
      <c r="E115" s="28"/>
      <c r="F115" s="28"/>
      <c r="G115" s="28"/>
      <c r="H115" s="28"/>
      <c r="I115" s="28"/>
      <c r="J115" s="28"/>
      <c r="K115" s="28"/>
    </row>
    <row r="116">
      <c r="A116" s="4">
        <v>114.0</v>
      </c>
      <c r="B116" s="28"/>
      <c r="C116" s="28"/>
      <c r="D116" s="28"/>
      <c r="E116" s="28"/>
      <c r="F116" s="28"/>
      <c r="G116" s="28"/>
      <c r="H116" s="28"/>
      <c r="I116" s="28"/>
      <c r="J116" s="28"/>
      <c r="K116" s="28"/>
    </row>
    <row r="117">
      <c r="A117" s="4">
        <v>115.0</v>
      </c>
      <c r="B117" s="28"/>
      <c r="C117" s="28"/>
      <c r="D117" s="28"/>
      <c r="E117" s="28"/>
      <c r="F117" s="28"/>
      <c r="G117" s="28"/>
      <c r="H117" s="28"/>
      <c r="I117" s="28"/>
      <c r="J117" s="28"/>
      <c r="K117" s="28"/>
    </row>
    <row r="118">
      <c r="A118" s="4">
        <v>116.0</v>
      </c>
      <c r="B118" s="28"/>
      <c r="C118" s="28"/>
      <c r="D118" s="28"/>
      <c r="E118" s="28"/>
      <c r="F118" s="28"/>
      <c r="G118" s="28"/>
      <c r="H118" s="28"/>
      <c r="I118" s="28"/>
      <c r="J118" s="28"/>
      <c r="K118" s="28"/>
    </row>
    <row r="119">
      <c r="A119" s="4">
        <v>117.0</v>
      </c>
      <c r="B119" s="28"/>
      <c r="C119" s="28"/>
      <c r="D119" s="28"/>
      <c r="E119" s="28"/>
      <c r="F119" s="28"/>
      <c r="G119" s="28"/>
      <c r="H119" s="28"/>
      <c r="I119" s="28"/>
      <c r="J119" s="28"/>
      <c r="K119" s="28"/>
    </row>
    <row r="120">
      <c r="A120" s="4">
        <v>118.0</v>
      </c>
      <c r="B120" s="28"/>
      <c r="C120" s="28"/>
      <c r="D120" s="28"/>
      <c r="E120" s="28"/>
      <c r="F120" s="28"/>
      <c r="G120" s="28"/>
      <c r="H120" s="28"/>
      <c r="I120" s="28"/>
      <c r="J120" s="28"/>
      <c r="K120" s="28"/>
    </row>
    <row r="121">
      <c r="A121" s="95"/>
    </row>
    <row r="122">
      <c r="A122" s="95"/>
    </row>
    <row r="123">
      <c r="A123" s="95"/>
    </row>
    <row r="124">
      <c r="A124" s="95"/>
    </row>
    <row r="125">
      <c r="A125" s="95"/>
    </row>
    <row r="126">
      <c r="A126" s="95"/>
    </row>
    <row r="127">
      <c r="A127" s="95"/>
    </row>
    <row r="128">
      <c r="A128" s="95"/>
    </row>
    <row r="129">
      <c r="A129" s="95"/>
    </row>
    <row r="130">
      <c r="A130" s="95"/>
    </row>
    <row r="131">
      <c r="A131" s="95"/>
    </row>
    <row r="132">
      <c r="A132" s="95"/>
    </row>
    <row r="133">
      <c r="A133" s="95"/>
    </row>
    <row r="134">
      <c r="A134" s="95"/>
    </row>
    <row r="135">
      <c r="A135" s="95"/>
    </row>
    <row r="136">
      <c r="A136" s="95"/>
    </row>
    <row r="137">
      <c r="A137" s="95"/>
    </row>
    <row r="138">
      <c r="A138" s="95"/>
    </row>
    <row r="139">
      <c r="A139" s="95"/>
    </row>
    <row r="140">
      <c r="A140" s="95"/>
    </row>
    <row r="141">
      <c r="A141" s="95"/>
    </row>
    <row r="142">
      <c r="A142" s="95"/>
    </row>
    <row r="143">
      <c r="A143" s="95"/>
    </row>
    <row r="144">
      <c r="A144" s="95"/>
    </row>
    <row r="145">
      <c r="A145" s="95"/>
    </row>
    <row r="146">
      <c r="A146" s="95"/>
    </row>
    <row r="147">
      <c r="A147" s="95"/>
    </row>
    <row r="148">
      <c r="A148" s="95"/>
    </row>
    <row r="149">
      <c r="A149" s="95"/>
    </row>
    <row r="150">
      <c r="A150" s="95"/>
    </row>
    <row r="151">
      <c r="A151" s="95"/>
    </row>
    <row r="152">
      <c r="A152" s="95"/>
    </row>
    <row r="153">
      <c r="A153" s="95"/>
    </row>
    <row r="154">
      <c r="A154" s="95"/>
    </row>
    <row r="155">
      <c r="A155" s="95"/>
    </row>
    <row r="156">
      <c r="A156" s="95"/>
    </row>
    <row r="157">
      <c r="A157" s="95"/>
    </row>
    <row r="158">
      <c r="A158" s="95"/>
    </row>
    <row r="159">
      <c r="A159" s="95"/>
    </row>
    <row r="160">
      <c r="A160" s="95"/>
    </row>
    <row r="161">
      <c r="A161" s="95"/>
    </row>
    <row r="162">
      <c r="A162" s="95"/>
    </row>
    <row r="163">
      <c r="A163" s="95"/>
    </row>
    <row r="164">
      <c r="A164" s="95"/>
    </row>
    <row r="165">
      <c r="A165" s="95"/>
    </row>
    <row r="166">
      <c r="A166" s="95"/>
    </row>
    <row r="167">
      <c r="A167" s="95"/>
    </row>
    <row r="168">
      <c r="A168" s="95"/>
    </row>
    <row r="169">
      <c r="A169" s="95"/>
    </row>
    <row r="170">
      <c r="A170" s="95"/>
    </row>
    <row r="171">
      <c r="A171" s="95"/>
    </row>
    <row r="172">
      <c r="A172" s="95"/>
    </row>
    <row r="173">
      <c r="A173" s="95"/>
    </row>
    <row r="174">
      <c r="A174" s="95"/>
    </row>
    <row r="175">
      <c r="A175" s="95"/>
    </row>
    <row r="176">
      <c r="A176" s="95"/>
    </row>
    <row r="177">
      <c r="A177" s="95"/>
    </row>
    <row r="178">
      <c r="A178" s="95"/>
    </row>
    <row r="179">
      <c r="A179" s="95"/>
    </row>
    <row r="180">
      <c r="A180" s="95"/>
    </row>
    <row r="181">
      <c r="A181" s="95"/>
    </row>
    <row r="182">
      <c r="A182" s="95"/>
    </row>
    <row r="183">
      <c r="A183" s="95"/>
    </row>
    <row r="184">
      <c r="A184" s="95"/>
    </row>
    <row r="185">
      <c r="A185" s="95"/>
    </row>
    <row r="186">
      <c r="A186" s="95"/>
    </row>
    <row r="187">
      <c r="A187" s="95"/>
    </row>
    <row r="188">
      <c r="A188" s="95"/>
    </row>
    <row r="189">
      <c r="A189" s="95"/>
    </row>
    <row r="190">
      <c r="A190" s="95"/>
    </row>
    <row r="191">
      <c r="A191" s="95"/>
    </row>
    <row r="192">
      <c r="A192" s="95"/>
    </row>
    <row r="193">
      <c r="A193" s="95"/>
    </row>
    <row r="194">
      <c r="A194" s="95"/>
    </row>
    <row r="195">
      <c r="A195" s="95"/>
    </row>
    <row r="196">
      <c r="A196" s="95"/>
    </row>
    <row r="197">
      <c r="A197" s="95"/>
    </row>
    <row r="198">
      <c r="A198" s="95"/>
    </row>
    <row r="199">
      <c r="A199" s="95"/>
    </row>
    <row r="200">
      <c r="A200" s="95"/>
    </row>
    <row r="201">
      <c r="A201" s="95"/>
    </row>
    <row r="202">
      <c r="A202" s="95"/>
    </row>
    <row r="203">
      <c r="A203" s="95"/>
    </row>
    <row r="204">
      <c r="A204" s="95"/>
    </row>
    <row r="205">
      <c r="A205" s="95"/>
    </row>
    <row r="206">
      <c r="A206" s="95"/>
    </row>
    <row r="207">
      <c r="A207" s="95"/>
    </row>
    <row r="208">
      <c r="A208" s="95"/>
    </row>
    <row r="209">
      <c r="A209" s="95"/>
    </row>
    <row r="210">
      <c r="A210" s="95"/>
    </row>
    <row r="211">
      <c r="A211" s="95"/>
    </row>
    <row r="212">
      <c r="A212" s="95"/>
    </row>
    <row r="213">
      <c r="A213" s="95"/>
    </row>
    <row r="214">
      <c r="A214" s="95"/>
    </row>
    <row r="215">
      <c r="A215" s="95"/>
    </row>
    <row r="216">
      <c r="A216" s="95"/>
    </row>
    <row r="217">
      <c r="A217" s="95"/>
    </row>
    <row r="218">
      <c r="A218" s="95"/>
    </row>
    <row r="219">
      <c r="A219" s="95"/>
    </row>
    <row r="220">
      <c r="A220" s="95"/>
    </row>
    <row r="221">
      <c r="A221" s="95"/>
    </row>
    <row r="222">
      <c r="A222" s="95"/>
    </row>
    <row r="223">
      <c r="A223" s="95"/>
    </row>
    <row r="224">
      <c r="A224" s="95"/>
    </row>
    <row r="225">
      <c r="A225" s="95"/>
    </row>
    <row r="226">
      <c r="A226" s="95"/>
    </row>
    <row r="227">
      <c r="A227" s="95"/>
    </row>
    <row r="228">
      <c r="A228" s="95"/>
    </row>
    <row r="229">
      <c r="A229" s="95"/>
    </row>
    <row r="230">
      <c r="A230" s="95"/>
    </row>
    <row r="231">
      <c r="A231" s="95"/>
    </row>
    <row r="232">
      <c r="A232" s="95"/>
    </row>
    <row r="233">
      <c r="A233" s="95"/>
    </row>
    <row r="234">
      <c r="A234" s="95"/>
    </row>
    <row r="235">
      <c r="A235" s="95"/>
    </row>
    <row r="236">
      <c r="A236" s="95"/>
    </row>
    <row r="237">
      <c r="A237" s="95"/>
    </row>
    <row r="238">
      <c r="A238" s="95"/>
    </row>
    <row r="239">
      <c r="A239" s="95"/>
    </row>
    <row r="240">
      <c r="A240" s="95"/>
    </row>
    <row r="241">
      <c r="A241" s="95"/>
    </row>
    <row r="242">
      <c r="A242" s="95"/>
    </row>
    <row r="243">
      <c r="A243" s="95"/>
    </row>
    <row r="244">
      <c r="A244" s="95"/>
    </row>
    <row r="245">
      <c r="A245" s="95"/>
    </row>
    <row r="246">
      <c r="A246" s="95"/>
    </row>
    <row r="247">
      <c r="A247" s="95"/>
    </row>
    <row r="248">
      <c r="A248" s="95"/>
    </row>
    <row r="249">
      <c r="A249" s="95"/>
    </row>
    <row r="250">
      <c r="A250" s="95"/>
    </row>
    <row r="251">
      <c r="A251" s="95"/>
    </row>
    <row r="252">
      <c r="A252" s="95"/>
    </row>
    <row r="253">
      <c r="A253" s="95"/>
    </row>
    <row r="254">
      <c r="A254" s="95"/>
    </row>
    <row r="255">
      <c r="A255" s="95"/>
    </row>
    <row r="256">
      <c r="A256" s="95"/>
    </row>
    <row r="257">
      <c r="A257" s="95"/>
    </row>
    <row r="258">
      <c r="A258" s="95"/>
    </row>
    <row r="259">
      <c r="A259" s="95"/>
    </row>
    <row r="260">
      <c r="A260" s="95"/>
    </row>
    <row r="261">
      <c r="A261" s="95"/>
    </row>
    <row r="262">
      <c r="A262" s="95"/>
    </row>
    <row r="263">
      <c r="A263" s="95"/>
    </row>
    <row r="264">
      <c r="A264" s="95"/>
    </row>
    <row r="265">
      <c r="A265" s="95"/>
    </row>
    <row r="266">
      <c r="A266" s="95"/>
    </row>
    <row r="267">
      <c r="A267" s="95"/>
    </row>
    <row r="268">
      <c r="A268" s="95"/>
    </row>
    <row r="269">
      <c r="A269" s="95"/>
    </row>
    <row r="270">
      <c r="A270" s="95"/>
    </row>
    <row r="271">
      <c r="A271" s="95"/>
    </row>
    <row r="272">
      <c r="A272" s="95"/>
    </row>
    <row r="273">
      <c r="A273" s="95"/>
    </row>
    <row r="274">
      <c r="A274" s="95"/>
    </row>
    <row r="275">
      <c r="A275" s="95"/>
    </row>
    <row r="276">
      <c r="A276" s="95"/>
    </row>
    <row r="277">
      <c r="A277" s="95"/>
    </row>
    <row r="278">
      <c r="A278" s="95"/>
    </row>
    <row r="279">
      <c r="A279" s="95"/>
    </row>
    <row r="280">
      <c r="A280" s="95"/>
    </row>
    <row r="281">
      <c r="A281" s="95"/>
    </row>
    <row r="282">
      <c r="A282" s="95"/>
    </row>
    <row r="283">
      <c r="A283" s="95"/>
    </row>
    <row r="284">
      <c r="A284" s="95"/>
    </row>
    <row r="285">
      <c r="A285" s="95"/>
    </row>
    <row r="286">
      <c r="A286" s="95"/>
    </row>
    <row r="287">
      <c r="A287" s="95"/>
    </row>
    <row r="288">
      <c r="A288" s="95"/>
    </row>
    <row r="289">
      <c r="A289" s="95"/>
    </row>
    <row r="290">
      <c r="A290" s="95"/>
    </row>
    <row r="291">
      <c r="A291" s="95"/>
    </row>
    <row r="292">
      <c r="A292" s="95"/>
    </row>
    <row r="293">
      <c r="A293" s="95"/>
    </row>
    <row r="294">
      <c r="A294" s="95"/>
    </row>
    <row r="295">
      <c r="A295" s="95"/>
    </row>
    <row r="296">
      <c r="A296" s="95"/>
    </row>
    <row r="297">
      <c r="A297" s="95"/>
    </row>
    <row r="298">
      <c r="A298" s="95"/>
    </row>
    <row r="299">
      <c r="A299" s="95"/>
    </row>
    <row r="300">
      <c r="A300" s="95"/>
    </row>
    <row r="301">
      <c r="A301" s="95"/>
    </row>
    <row r="302">
      <c r="A302" s="95"/>
    </row>
    <row r="303">
      <c r="A303" s="95"/>
    </row>
    <row r="304">
      <c r="A304" s="95"/>
    </row>
    <row r="305">
      <c r="A305" s="95"/>
    </row>
    <row r="306">
      <c r="A306" s="95"/>
    </row>
    <row r="307">
      <c r="A307" s="95"/>
    </row>
    <row r="308">
      <c r="A308" s="95"/>
    </row>
    <row r="309">
      <c r="A309" s="95"/>
    </row>
    <row r="310">
      <c r="A310" s="95"/>
    </row>
    <row r="311">
      <c r="A311" s="95"/>
    </row>
    <row r="312">
      <c r="A312" s="95"/>
    </row>
    <row r="313">
      <c r="A313" s="95"/>
    </row>
    <row r="314">
      <c r="A314" s="95"/>
    </row>
    <row r="315">
      <c r="A315" s="95"/>
    </row>
    <row r="316">
      <c r="A316" s="95"/>
    </row>
    <row r="317">
      <c r="A317" s="95"/>
    </row>
    <row r="318">
      <c r="A318" s="95"/>
    </row>
    <row r="319">
      <c r="A319" s="95"/>
    </row>
    <row r="320">
      <c r="A320" s="95"/>
    </row>
    <row r="321">
      <c r="A321" s="95"/>
    </row>
    <row r="322">
      <c r="A322" s="95"/>
    </row>
    <row r="323">
      <c r="A323" s="95"/>
    </row>
    <row r="324">
      <c r="A324" s="95"/>
    </row>
    <row r="325">
      <c r="A325" s="95"/>
    </row>
    <row r="326">
      <c r="A326" s="95"/>
    </row>
    <row r="327">
      <c r="A327" s="95"/>
    </row>
    <row r="328">
      <c r="A328" s="95"/>
    </row>
    <row r="329">
      <c r="A329" s="95"/>
    </row>
    <row r="330">
      <c r="A330" s="95"/>
    </row>
    <row r="331">
      <c r="A331" s="95"/>
    </row>
    <row r="332">
      <c r="A332" s="95"/>
    </row>
    <row r="333">
      <c r="A333" s="95"/>
    </row>
    <row r="334">
      <c r="A334" s="95"/>
    </row>
    <row r="335">
      <c r="A335" s="95"/>
    </row>
    <row r="336">
      <c r="A336" s="95"/>
    </row>
    <row r="337">
      <c r="A337" s="95"/>
    </row>
    <row r="338">
      <c r="A338" s="95"/>
    </row>
    <row r="339">
      <c r="A339" s="95"/>
    </row>
    <row r="340">
      <c r="A340" s="95"/>
    </row>
    <row r="341">
      <c r="A341" s="95"/>
    </row>
    <row r="342">
      <c r="A342" s="95"/>
    </row>
    <row r="343">
      <c r="A343" s="95"/>
    </row>
    <row r="344">
      <c r="A344" s="95"/>
    </row>
    <row r="345">
      <c r="A345" s="95"/>
    </row>
    <row r="346">
      <c r="A346" s="95"/>
    </row>
    <row r="347">
      <c r="A347" s="95"/>
    </row>
    <row r="348">
      <c r="A348" s="95"/>
    </row>
    <row r="349">
      <c r="A349" s="95"/>
    </row>
    <row r="350">
      <c r="A350" s="95"/>
    </row>
    <row r="351">
      <c r="A351" s="95"/>
    </row>
    <row r="352">
      <c r="A352" s="95"/>
    </row>
    <row r="353">
      <c r="A353" s="95"/>
    </row>
    <row r="354">
      <c r="A354" s="95"/>
    </row>
    <row r="355">
      <c r="A355" s="95"/>
    </row>
    <row r="356">
      <c r="A356" s="95"/>
    </row>
    <row r="357">
      <c r="A357" s="95"/>
    </row>
    <row r="358">
      <c r="A358" s="95"/>
    </row>
    <row r="359">
      <c r="A359" s="95"/>
    </row>
    <row r="360">
      <c r="A360" s="95"/>
    </row>
    <row r="361">
      <c r="A361" s="95"/>
    </row>
    <row r="362">
      <c r="A362" s="95"/>
    </row>
    <row r="363">
      <c r="A363" s="95"/>
    </row>
    <row r="364">
      <c r="A364" s="95"/>
    </row>
    <row r="365">
      <c r="A365" s="95"/>
    </row>
    <row r="366">
      <c r="A366" s="95"/>
    </row>
    <row r="367">
      <c r="A367" s="95"/>
    </row>
    <row r="368">
      <c r="A368" s="95"/>
    </row>
    <row r="369">
      <c r="A369" s="95"/>
    </row>
    <row r="370">
      <c r="A370" s="95"/>
    </row>
    <row r="371">
      <c r="A371" s="95"/>
    </row>
    <row r="372">
      <c r="A372" s="95"/>
    </row>
    <row r="373">
      <c r="A373" s="95"/>
    </row>
    <row r="374">
      <c r="A374" s="95"/>
    </row>
    <row r="375">
      <c r="A375" s="95"/>
    </row>
    <row r="376">
      <c r="A376" s="95"/>
    </row>
    <row r="377">
      <c r="A377" s="95"/>
    </row>
    <row r="378">
      <c r="A378" s="95"/>
    </row>
    <row r="379">
      <c r="A379" s="95"/>
    </row>
    <row r="380">
      <c r="A380" s="95"/>
    </row>
    <row r="381">
      <c r="A381" s="95"/>
    </row>
    <row r="382">
      <c r="A382" s="95"/>
    </row>
    <row r="383">
      <c r="A383" s="95"/>
    </row>
    <row r="384">
      <c r="A384" s="95"/>
    </row>
    <row r="385">
      <c r="A385" s="95"/>
    </row>
    <row r="386">
      <c r="A386" s="95"/>
    </row>
    <row r="387">
      <c r="A387" s="95"/>
    </row>
    <row r="388">
      <c r="A388" s="95"/>
    </row>
    <row r="389">
      <c r="A389" s="95"/>
    </row>
    <row r="390">
      <c r="A390" s="95"/>
    </row>
    <row r="391">
      <c r="A391" s="95"/>
    </row>
    <row r="392">
      <c r="A392" s="95"/>
    </row>
    <row r="393">
      <c r="A393" s="95"/>
    </row>
    <row r="394">
      <c r="A394" s="95"/>
    </row>
    <row r="395">
      <c r="A395" s="95"/>
    </row>
    <row r="396">
      <c r="A396" s="95"/>
    </row>
    <row r="397">
      <c r="A397" s="95"/>
    </row>
    <row r="398">
      <c r="A398" s="95"/>
    </row>
    <row r="399">
      <c r="A399" s="95"/>
    </row>
    <row r="400">
      <c r="A400" s="95"/>
    </row>
    <row r="401">
      <c r="A401" s="95"/>
    </row>
    <row r="402">
      <c r="A402" s="95"/>
    </row>
    <row r="403">
      <c r="A403" s="95"/>
    </row>
    <row r="404">
      <c r="A404" s="95"/>
    </row>
    <row r="405">
      <c r="A405" s="95"/>
    </row>
    <row r="406">
      <c r="A406" s="95"/>
    </row>
    <row r="407">
      <c r="A407" s="95"/>
    </row>
    <row r="408">
      <c r="A408" s="95"/>
    </row>
    <row r="409">
      <c r="A409" s="95"/>
    </row>
    <row r="410">
      <c r="A410" s="95"/>
    </row>
    <row r="411">
      <c r="A411" s="95"/>
    </row>
    <row r="412">
      <c r="A412" s="95"/>
    </row>
    <row r="413">
      <c r="A413" s="95"/>
    </row>
    <row r="414">
      <c r="A414" s="95"/>
    </row>
    <row r="415">
      <c r="A415" s="95"/>
    </row>
    <row r="416">
      <c r="A416" s="95"/>
    </row>
    <row r="417">
      <c r="A417" s="95"/>
    </row>
    <row r="418">
      <c r="A418" s="95"/>
    </row>
    <row r="419">
      <c r="A419" s="95"/>
    </row>
    <row r="420">
      <c r="A420" s="95"/>
    </row>
    <row r="421">
      <c r="A421" s="95"/>
    </row>
    <row r="422">
      <c r="A422" s="95"/>
    </row>
    <row r="423">
      <c r="A423" s="95"/>
    </row>
    <row r="424">
      <c r="A424" s="95"/>
    </row>
    <row r="425">
      <c r="A425" s="95"/>
    </row>
    <row r="426">
      <c r="A426" s="95"/>
    </row>
    <row r="427">
      <c r="A427" s="95"/>
    </row>
    <row r="428">
      <c r="A428" s="95"/>
    </row>
    <row r="429">
      <c r="A429" s="95"/>
    </row>
    <row r="430">
      <c r="A430" s="95"/>
    </row>
    <row r="431">
      <c r="A431" s="95"/>
    </row>
    <row r="432">
      <c r="A432" s="95"/>
    </row>
    <row r="433">
      <c r="A433" s="95"/>
    </row>
    <row r="434">
      <c r="A434" s="95"/>
    </row>
    <row r="435">
      <c r="A435" s="95"/>
    </row>
    <row r="436">
      <c r="A436" s="95"/>
    </row>
    <row r="437">
      <c r="A437" s="95"/>
    </row>
    <row r="438">
      <c r="A438" s="95"/>
    </row>
    <row r="439">
      <c r="A439" s="95"/>
    </row>
    <row r="440">
      <c r="A440" s="95"/>
    </row>
    <row r="441">
      <c r="A441" s="95"/>
    </row>
    <row r="442">
      <c r="A442" s="95"/>
    </row>
    <row r="443">
      <c r="A443" s="95"/>
    </row>
    <row r="444">
      <c r="A444" s="95"/>
    </row>
    <row r="445">
      <c r="A445" s="95"/>
    </row>
    <row r="446">
      <c r="A446" s="95"/>
    </row>
    <row r="447">
      <c r="A447" s="95"/>
    </row>
    <row r="448">
      <c r="A448" s="95"/>
    </row>
    <row r="449">
      <c r="A449" s="95"/>
    </row>
    <row r="450">
      <c r="A450" s="95"/>
    </row>
    <row r="451">
      <c r="A451" s="95"/>
    </row>
    <row r="452">
      <c r="A452" s="95"/>
    </row>
    <row r="453">
      <c r="A453" s="95"/>
    </row>
    <row r="454">
      <c r="A454" s="95"/>
    </row>
    <row r="455">
      <c r="A455" s="95"/>
    </row>
    <row r="456">
      <c r="A456" s="95"/>
    </row>
    <row r="457">
      <c r="A457" s="95"/>
    </row>
    <row r="458">
      <c r="A458" s="95"/>
    </row>
    <row r="459">
      <c r="A459" s="95"/>
    </row>
    <row r="460">
      <c r="A460" s="95"/>
    </row>
    <row r="461">
      <c r="A461" s="95"/>
    </row>
    <row r="462">
      <c r="A462" s="95"/>
    </row>
    <row r="463">
      <c r="A463" s="95"/>
    </row>
    <row r="464">
      <c r="A464" s="95"/>
    </row>
    <row r="465">
      <c r="A465" s="95"/>
    </row>
    <row r="466">
      <c r="A466" s="95"/>
    </row>
    <row r="467">
      <c r="A467" s="95"/>
    </row>
    <row r="468">
      <c r="A468" s="95"/>
    </row>
    <row r="469">
      <c r="A469" s="95"/>
    </row>
    <row r="470">
      <c r="A470" s="95"/>
    </row>
    <row r="471">
      <c r="A471" s="95"/>
    </row>
    <row r="472">
      <c r="A472" s="95"/>
    </row>
    <row r="473">
      <c r="A473" s="95"/>
    </row>
    <row r="474">
      <c r="A474" s="95"/>
    </row>
    <row r="475">
      <c r="A475" s="95"/>
    </row>
    <row r="476">
      <c r="A476" s="95"/>
    </row>
    <row r="477">
      <c r="A477" s="95"/>
    </row>
    <row r="478">
      <c r="A478" s="95"/>
    </row>
    <row r="479">
      <c r="A479" s="95"/>
    </row>
    <row r="480">
      <c r="A480" s="95"/>
    </row>
    <row r="481">
      <c r="A481" s="95"/>
    </row>
    <row r="482">
      <c r="A482" s="95"/>
    </row>
    <row r="483">
      <c r="A483" s="95"/>
    </row>
    <row r="484">
      <c r="A484" s="95"/>
    </row>
    <row r="485">
      <c r="A485" s="95"/>
    </row>
    <row r="486">
      <c r="A486" s="95"/>
    </row>
    <row r="487">
      <c r="A487" s="95"/>
    </row>
    <row r="488">
      <c r="A488" s="95"/>
    </row>
    <row r="489">
      <c r="A489" s="95"/>
    </row>
    <row r="490">
      <c r="A490" s="95"/>
    </row>
    <row r="491">
      <c r="A491" s="95"/>
    </row>
    <row r="492">
      <c r="A492" s="95"/>
    </row>
    <row r="493">
      <c r="A493" s="95"/>
    </row>
    <row r="494">
      <c r="A494" s="95"/>
    </row>
    <row r="495">
      <c r="A495" s="95"/>
    </row>
    <row r="496">
      <c r="A496" s="95"/>
    </row>
    <row r="497">
      <c r="A497" s="95"/>
    </row>
    <row r="498">
      <c r="A498" s="95"/>
    </row>
    <row r="499">
      <c r="A499" s="95"/>
    </row>
    <row r="500">
      <c r="A500" s="95"/>
    </row>
    <row r="501">
      <c r="A501" s="95"/>
    </row>
    <row r="502">
      <c r="A502" s="95"/>
    </row>
    <row r="503">
      <c r="A503" s="95"/>
    </row>
    <row r="504">
      <c r="A504" s="95"/>
    </row>
    <row r="505">
      <c r="A505" s="95"/>
    </row>
    <row r="506">
      <c r="A506" s="95"/>
    </row>
    <row r="507">
      <c r="A507" s="95"/>
    </row>
    <row r="508">
      <c r="A508" s="95"/>
    </row>
    <row r="509">
      <c r="A509" s="95"/>
    </row>
    <row r="510">
      <c r="A510" s="95"/>
    </row>
    <row r="511">
      <c r="A511" s="95"/>
    </row>
    <row r="512">
      <c r="A512" s="95"/>
    </row>
    <row r="513">
      <c r="A513" s="95"/>
    </row>
    <row r="514">
      <c r="A514" s="95"/>
    </row>
    <row r="515">
      <c r="A515" s="95"/>
    </row>
    <row r="516">
      <c r="A516" s="95"/>
    </row>
    <row r="517">
      <c r="A517" s="95"/>
    </row>
    <row r="518">
      <c r="A518" s="95"/>
    </row>
    <row r="519">
      <c r="A519" s="95"/>
    </row>
    <row r="520">
      <c r="A520" s="95"/>
    </row>
    <row r="521">
      <c r="A521" s="95"/>
    </row>
    <row r="522">
      <c r="A522" s="95"/>
    </row>
    <row r="523">
      <c r="A523" s="95"/>
    </row>
    <row r="524">
      <c r="A524" s="95"/>
    </row>
    <row r="525">
      <c r="A525" s="95"/>
    </row>
    <row r="526">
      <c r="A526" s="95"/>
    </row>
    <row r="527">
      <c r="A527" s="95"/>
    </row>
    <row r="528">
      <c r="A528" s="95"/>
    </row>
    <row r="529">
      <c r="A529" s="95"/>
    </row>
    <row r="530">
      <c r="A530" s="95"/>
    </row>
    <row r="531">
      <c r="A531" s="95"/>
    </row>
    <row r="532">
      <c r="A532" s="95"/>
    </row>
    <row r="533">
      <c r="A533" s="95"/>
    </row>
    <row r="534">
      <c r="A534" s="95"/>
    </row>
    <row r="535">
      <c r="A535" s="95"/>
    </row>
    <row r="536">
      <c r="A536" s="95"/>
    </row>
    <row r="537">
      <c r="A537" s="95"/>
    </row>
    <row r="538">
      <c r="A538" s="95"/>
    </row>
    <row r="539">
      <c r="A539" s="95"/>
    </row>
    <row r="540">
      <c r="A540" s="95"/>
    </row>
    <row r="541">
      <c r="A541" s="95"/>
    </row>
    <row r="542">
      <c r="A542" s="95"/>
    </row>
    <row r="543">
      <c r="A543" s="95"/>
    </row>
    <row r="544">
      <c r="A544" s="95"/>
    </row>
    <row r="545">
      <c r="A545" s="95"/>
    </row>
    <row r="546">
      <c r="A546" s="95"/>
    </row>
    <row r="547">
      <c r="A547" s="95"/>
    </row>
    <row r="548">
      <c r="A548" s="95"/>
    </row>
    <row r="549">
      <c r="A549" s="95"/>
    </row>
    <row r="550">
      <c r="A550" s="95"/>
    </row>
    <row r="551">
      <c r="A551" s="95"/>
    </row>
    <row r="552">
      <c r="A552" s="95"/>
    </row>
    <row r="553">
      <c r="A553" s="95"/>
    </row>
    <row r="554">
      <c r="A554" s="95"/>
    </row>
    <row r="555">
      <c r="A555" s="95"/>
    </row>
    <row r="556">
      <c r="A556" s="95"/>
    </row>
    <row r="557">
      <c r="A557" s="95"/>
    </row>
    <row r="558">
      <c r="A558" s="95"/>
    </row>
    <row r="559">
      <c r="A559" s="95"/>
    </row>
    <row r="560">
      <c r="A560" s="95"/>
    </row>
    <row r="561">
      <c r="A561" s="95"/>
    </row>
    <row r="562">
      <c r="A562" s="95"/>
    </row>
    <row r="563">
      <c r="A563" s="95"/>
    </row>
    <row r="564">
      <c r="A564" s="95"/>
    </row>
    <row r="565">
      <c r="A565" s="95"/>
    </row>
    <row r="566">
      <c r="A566" s="95"/>
    </row>
    <row r="567">
      <c r="A567" s="95"/>
    </row>
    <row r="568">
      <c r="A568" s="95"/>
    </row>
    <row r="569">
      <c r="A569" s="95"/>
    </row>
    <row r="570">
      <c r="A570" s="95"/>
    </row>
    <row r="571">
      <c r="A571" s="95"/>
    </row>
    <row r="572">
      <c r="A572" s="95"/>
    </row>
    <row r="573">
      <c r="A573" s="95"/>
    </row>
    <row r="574">
      <c r="A574" s="95"/>
    </row>
    <row r="575">
      <c r="A575" s="95"/>
    </row>
    <row r="576">
      <c r="A576" s="95"/>
    </row>
    <row r="577">
      <c r="A577" s="95"/>
    </row>
    <row r="578">
      <c r="A578" s="95"/>
    </row>
    <row r="579">
      <c r="A579" s="95"/>
    </row>
    <row r="580">
      <c r="A580" s="95"/>
    </row>
    <row r="581">
      <c r="A581" s="95"/>
    </row>
    <row r="582">
      <c r="A582" s="95"/>
    </row>
    <row r="583">
      <c r="A583" s="95"/>
    </row>
    <row r="584">
      <c r="A584" s="95"/>
    </row>
    <row r="585">
      <c r="A585" s="95"/>
    </row>
    <row r="586">
      <c r="A586" s="95"/>
    </row>
    <row r="587">
      <c r="A587" s="95"/>
    </row>
    <row r="588">
      <c r="A588" s="95"/>
    </row>
    <row r="589">
      <c r="A589" s="95"/>
    </row>
    <row r="590">
      <c r="A590" s="95"/>
    </row>
    <row r="591">
      <c r="A591" s="95"/>
    </row>
    <row r="592">
      <c r="A592" s="95"/>
    </row>
    <row r="593">
      <c r="A593" s="95"/>
    </row>
    <row r="594">
      <c r="A594" s="95"/>
    </row>
    <row r="595">
      <c r="A595" s="95"/>
    </row>
    <row r="596">
      <c r="A596" s="95"/>
    </row>
    <row r="597">
      <c r="A597" s="95"/>
    </row>
    <row r="598">
      <c r="A598" s="95"/>
    </row>
    <row r="599">
      <c r="A599" s="95"/>
    </row>
    <row r="600">
      <c r="A600" s="95"/>
    </row>
    <row r="601">
      <c r="A601" s="95"/>
    </row>
    <row r="602">
      <c r="A602" s="95"/>
    </row>
    <row r="603">
      <c r="A603" s="95"/>
    </row>
    <row r="604">
      <c r="A604" s="95"/>
    </row>
    <row r="605">
      <c r="A605" s="95"/>
    </row>
    <row r="606">
      <c r="A606" s="95"/>
    </row>
    <row r="607">
      <c r="A607" s="95"/>
    </row>
    <row r="608">
      <c r="A608" s="95"/>
    </row>
    <row r="609">
      <c r="A609" s="95"/>
    </row>
    <row r="610">
      <c r="A610" s="95"/>
    </row>
    <row r="611">
      <c r="A611" s="95"/>
    </row>
    <row r="612">
      <c r="A612" s="95"/>
    </row>
    <row r="613">
      <c r="A613" s="95"/>
    </row>
    <row r="614">
      <c r="A614" s="95"/>
    </row>
    <row r="615">
      <c r="A615" s="95"/>
    </row>
    <row r="616">
      <c r="A616" s="95"/>
    </row>
    <row r="617">
      <c r="A617" s="95"/>
    </row>
    <row r="618">
      <c r="A618" s="95"/>
    </row>
    <row r="619">
      <c r="A619" s="95"/>
    </row>
    <row r="620">
      <c r="A620" s="95"/>
    </row>
    <row r="621">
      <c r="A621" s="95"/>
    </row>
    <row r="622">
      <c r="A622" s="95"/>
    </row>
    <row r="623">
      <c r="A623" s="95"/>
    </row>
    <row r="624">
      <c r="A624" s="95"/>
    </row>
    <row r="625">
      <c r="A625" s="95"/>
    </row>
    <row r="626">
      <c r="A626" s="95"/>
    </row>
    <row r="627">
      <c r="A627" s="95"/>
    </row>
    <row r="628">
      <c r="A628" s="95"/>
    </row>
    <row r="629">
      <c r="A629" s="95"/>
    </row>
    <row r="630">
      <c r="A630" s="95"/>
    </row>
    <row r="631">
      <c r="A631" s="95"/>
    </row>
    <row r="632">
      <c r="A632" s="95"/>
    </row>
    <row r="633">
      <c r="A633" s="95"/>
    </row>
    <row r="634">
      <c r="A634" s="95"/>
    </row>
    <row r="635">
      <c r="A635" s="95"/>
    </row>
    <row r="636">
      <c r="A636" s="95"/>
    </row>
    <row r="637">
      <c r="A637" s="95"/>
    </row>
    <row r="638">
      <c r="A638" s="95"/>
    </row>
    <row r="639">
      <c r="A639" s="95"/>
    </row>
    <row r="640">
      <c r="A640" s="95"/>
    </row>
    <row r="641">
      <c r="A641" s="95"/>
    </row>
    <row r="642">
      <c r="A642" s="95"/>
    </row>
    <row r="643">
      <c r="A643" s="95"/>
    </row>
    <row r="644">
      <c r="A644" s="95"/>
    </row>
    <row r="645">
      <c r="A645" s="95"/>
    </row>
    <row r="646">
      <c r="A646" s="95"/>
    </row>
    <row r="647">
      <c r="A647" s="95"/>
    </row>
    <row r="648">
      <c r="A648" s="95"/>
    </row>
    <row r="649">
      <c r="A649" s="95"/>
    </row>
    <row r="650">
      <c r="A650" s="95"/>
    </row>
    <row r="651">
      <c r="A651" s="95"/>
    </row>
    <row r="652">
      <c r="A652" s="95"/>
    </row>
    <row r="653">
      <c r="A653" s="95"/>
    </row>
    <row r="654">
      <c r="A654" s="95"/>
    </row>
    <row r="655">
      <c r="A655" s="95"/>
    </row>
    <row r="656">
      <c r="A656" s="95"/>
    </row>
    <row r="657">
      <c r="A657" s="95"/>
    </row>
    <row r="658">
      <c r="A658" s="95"/>
    </row>
    <row r="659">
      <c r="A659" s="95"/>
    </row>
    <row r="660">
      <c r="A660" s="95"/>
    </row>
    <row r="661">
      <c r="A661" s="95"/>
    </row>
    <row r="662">
      <c r="A662" s="95"/>
    </row>
    <row r="663">
      <c r="A663" s="95"/>
    </row>
    <row r="664">
      <c r="A664" s="95"/>
    </row>
    <row r="665">
      <c r="A665" s="95"/>
    </row>
    <row r="666">
      <c r="A666" s="95"/>
    </row>
    <row r="667">
      <c r="A667" s="95"/>
    </row>
    <row r="668">
      <c r="A668" s="95"/>
    </row>
    <row r="669">
      <c r="A669" s="95"/>
    </row>
    <row r="670">
      <c r="A670" s="95"/>
    </row>
    <row r="671">
      <c r="A671" s="95"/>
    </row>
    <row r="672">
      <c r="A672" s="95"/>
    </row>
    <row r="673">
      <c r="A673" s="95"/>
    </row>
    <row r="674">
      <c r="A674" s="95"/>
    </row>
    <row r="675">
      <c r="A675" s="95"/>
    </row>
    <row r="676">
      <c r="A676" s="95"/>
    </row>
    <row r="677">
      <c r="A677" s="95"/>
    </row>
    <row r="678">
      <c r="A678" s="95"/>
    </row>
    <row r="679">
      <c r="A679" s="95"/>
    </row>
    <row r="680">
      <c r="A680" s="95"/>
    </row>
    <row r="681">
      <c r="A681" s="95"/>
    </row>
    <row r="682">
      <c r="A682" s="95"/>
    </row>
    <row r="683">
      <c r="A683" s="95"/>
    </row>
    <row r="684">
      <c r="A684" s="95"/>
    </row>
    <row r="685">
      <c r="A685" s="95"/>
    </row>
    <row r="686">
      <c r="A686" s="95"/>
    </row>
    <row r="687">
      <c r="A687" s="95"/>
    </row>
    <row r="688">
      <c r="A688" s="95"/>
    </row>
    <row r="689">
      <c r="A689" s="95"/>
    </row>
    <row r="690">
      <c r="A690" s="95"/>
    </row>
    <row r="691">
      <c r="A691" s="95"/>
    </row>
    <row r="692">
      <c r="A692" s="95"/>
    </row>
    <row r="693">
      <c r="A693" s="95"/>
    </row>
    <row r="694">
      <c r="A694" s="95"/>
    </row>
    <row r="695">
      <c r="A695" s="95"/>
    </row>
    <row r="696">
      <c r="A696" s="95"/>
    </row>
    <row r="697">
      <c r="A697" s="95"/>
    </row>
    <row r="698">
      <c r="A698" s="95"/>
    </row>
    <row r="699">
      <c r="A699" s="95"/>
    </row>
    <row r="700">
      <c r="A700" s="95"/>
    </row>
    <row r="701">
      <c r="A701" s="95"/>
    </row>
    <row r="702">
      <c r="A702" s="95"/>
    </row>
    <row r="703">
      <c r="A703" s="95"/>
    </row>
    <row r="704">
      <c r="A704" s="95"/>
    </row>
    <row r="705">
      <c r="A705" s="95"/>
    </row>
    <row r="706">
      <c r="A706" s="95"/>
    </row>
    <row r="707">
      <c r="A707" s="95"/>
    </row>
    <row r="708">
      <c r="A708" s="95"/>
    </row>
    <row r="709">
      <c r="A709" s="95"/>
    </row>
    <row r="710">
      <c r="A710" s="95"/>
    </row>
    <row r="711">
      <c r="A711" s="95"/>
    </row>
    <row r="712">
      <c r="A712" s="95"/>
    </row>
    <row r="713">
      <c r="A713" s="95"/>
    </row>
    <row r="714">
      <c r="A714" s="95"/>
    </row>
    <row r="715">
      <c r="A715" s="95"/>
    </row>
    <row r="716">
      <c r="A716" s="95"/>
    </row>
    <row r="717">
      <c r="A717" s="95"/>
    </row>
    <row r="718">
      <c r="A718" s="95"/>
    </row>
    <row r="719">
      <c r="A719" s="95"/>
    </row>
    <row r="720">
      <c r="A720" s="95"/>
    </row>
    <row r="721">
      <c r="A721" s="95"/>
    </row>
    <row r="722">
      <c r="A722" s="95"/>
    </row>
    <row r="723">
      <c r="A723" s="95"/>
    </row>
    <row r="724">
      <c r="A724" s="95"/>
    </row>
    <row r="725">
      <c r="A725" s="95"/>
    </row>
    <row r="726">
      <c r="A726" s="95"/>
    </row>
    <row r="727">
      <c r="A727" s="95"/>
    </row>
    <row r="728">
      <c r="A728" s="95"/>
    </row>
    <row r="729">
      <c r="A729" s="95"/>
    </row>
    <row r="730">
      <c r="A730" s="95"/>
    </row>
    <row r="731">
      <c r="A731" s="95"/>
    </row>
    <row r="732">
      <c r="A732" s="95"/>
    </row>
    <row r="733">
      <c r="A733" s="95"/>
    </row>
    <row r="734">
      <c r="A734" s="95"/>
    </row>
    <row r="735">
      <c r="A735" s="95"/>
    </row>
    <row r="736">
      <c r="A736" s="95"/>
    </row>
    <row r="737">
      <c r="A737" s="95"/>
    </row>
    <row r="738">
      <c r="A738" s="95"/>
    </row>
    <row r="739">
      <c r="A739" s="95"/>
    </row>
    <row r="740">
      <c r="A740" s="95"/>
    </row>
    <row r="741">
      <c r="A741" s="95"/>
    </row>
    <row r="742">
      <c r="A742" s="95"/>
    </row>
    <row r="743">
      <c r="A743" s="95"/>
    </row>
    <row r="744">
      <c r="A744" s="95"/>
    </row>
    <row r="745">
      <c r="A745" s="95"/>
    </row>
    <row r="746">
      <c r="A746" s="95"/>
    </row>
    <row r="747">
      <c r="A747" s="95"/>
    </row>
    <row r="748">
      <c r="A748" s="95"/>
    </row>
    <row r="749">
      <c r="A749" s="95"/>
    </row>
    <row r="750">
      <c r="A750" s="95"/>
    </row>
    <row r="751">
      <c r="A751" s="95"/>
    </row>
    <row r="752">
      <c r="A752" s="95"/>
    </row>
    <row r="753">
      <c r="A753" s="95"/>
    </row>
    <row r="754">
      <c r="A754" s="95"/>
    </row>
    <row r="755">
      <c r="A755" s="95"/>
    </row>
    <row r="756">
      <c r="A756" s="95"/>
    </row>
    <row r="757">
      <c r="A757" s="95"/>
    </row>
    <row r="758">
      <c r="A758" s="95"/>
    </row>
    <row r="759">
      <c r="A759" s="95"/>
    </row>
    <row r="760">
      <c r="A760" s="95"/>
    </row>
    <row r="761">
      <c r="A761" s="95"/>
    </row>
    <row r="762">
      <c r="A762" s="95"/>
    </row>
    <row r="763">
      <c r="A763" s="95"/>
    </row>
    <row r="764">
      <c r="A764" s="95"/>
    </row>
    <row r="765">
      <c r="A765" s="95"/>
    </row>
    <row r="766">
      <c r="A766" s="95"/>
    </row>
    <row r="767">
      <c r="A767" s="95"/>
    </row>
    <row r="768">
      <c r="A768" s="95"/>
    </row>
    <row r="769">
      <c r="A769" s="95"/>
    </row>
    <row r="770">
      <c r="A770" s="95"/>
    </row>
    <row r="771">
      <c r="A771" s="95"/>
    </row>
    <row r="772">
      <c r="A772" s="95"/>
    </row>
    <row r="773">
      <c r="A773" s="95"/>
    </row>
    <row r="774">
      <c r="A774" s="95"/>
    </row>
    <row r="775">
      <c r="A775" s="95"/>
    </row>
    <row r="776">
      <c r="A776" s="95"/>
    </row>
    <row r="777">
      <c r="A777" s="95"/>
    </row>
    <row r="778">
      <c r="A778" s="95"/>
    </row>
    <row r="779">
      <c r="A779" s="95"/>
    </row>
    <row r="780">
      <c r="A780" s="95"/>
    </row>
    <row r="781">
      <c r="A781" s="95"/>
    </row>
    <row r="782">
      <c r="A782" s="95"/>
    </row>
    <row r="783">
      <c r="A783" s="95"/>
    </row>
    <row r="784">
      <c r="A784" s="95"/>
    </row>
    <row r="785">
      <c r="A785" s="95"/>
    </row>
    <row r="786">
      <c r="A786" s="95"/>
    </row>
    <row r="787">
      <c r="A787" s="95"/>
    </row>
    <row r="788">
      <c r="A788" s="95"/>
    </row>
    <row r="789">
      <c r="A789" s="95"/>
    </row>
    <row r="790">
      <c r="A790" s="95"/>
    </row>
    <row r="791">
      <c r="A791" s="95"/>
    </row>
    <row r="792">
      <c r="A792" s="95"/>
    </row>
    <row r="793">
      <c r="A793" s="95"/>
    </row>
    <row r="794">
      <c r="A794" s="95"/>
    </row>
    <row r="795">
      <c r="A795" s="95"/>
    </row>
    <row r="796">
      <c r="A796" s="95"/>
    </row>
    <row r="797">
      <c r="A797" s="95"/>
    </row>
    <row r="798">
      <c r="A798" s="95"/>
    </row>
    <row r="799">
      <c r="A799" s="95"/>
    </row>
    <row r="800">
      <c r="A800" s="95"/>
    </row>
    <row r="801">
      <c r="A801" s="95"/>
    </row>
    <row r="802">
      <c r="A802" s="95"/>
    </row>
    <row r="803">
      <c r="A803" s="95"/>
    </row>
    <row r="804">
      <c r="A804" s="95"/>
    </row>
    <row r="805">
      <c r="A805" s="95"/>
    </row>
    <row r="806">
      <c r="A806" s="95"/>
    </row>
    <row r="807">
      <c r="A807" s="95"/>
    </row>
    <row r="808">
      <c r="A808" s="95"/>
    </row>
    <row r="809">
      <c r="A809" s="95"/>
    </row>
    <row r="810">
      <c r="A810" s="95"/>
    </row>
    <row r="811">
      <c r="A811" s="95"/>
    </row>
    <row r="812">
      <c r="A812" s="95"/>
    </row>
    <row r="813">
      <c r="A813" s="95"/>
    </row>
    <row r="814">
      <c r="A814" s="95"/>
    </row>
    <row r="815">
      <c r="A815" s="95"/>
    </row>
    <row r="816">
      <c r="A816" s="95"/>
    </row>
    <row r="817">
      <c r="A817" s="95"/>
    </row>
    <row r="818">
      <c r="A818" s="95"/>
    </row>
    <row r="819">
      <c r="A819" s="95"/>
    </row>
    <row r="820">
      <c r="A820" s="95"/>
    </row>
    <row r="821">
      <c r="A821" s="95"/>
    </row>
    <row r="822">
      <c r="A822" s="95"/>
    </row>
    <row r="823">
      <c r="A823" s="95"/>
    </row>
    <row r="824">
      <c r="A824" s="95"/>
    </row>
    <row r="825">
      <c r="A825" s="95"/>
    </row>
    <row r="826">
      <c r="A826" s="95"/>
    </row>
    <row r="827">
      <c r="A827" s="95"/>
    </row>
    <row r="828">
      <c r="A828" s="95"/>
    </row>
    <row r="829">
      <c r="A829" s="95"/>
    </row>
    <row r="830">
      <c r="A830" s="95"/>
    </row>
    <row r="831">
      <c r="A831" s="95"/>
    </row>
    <row r="832">
      <c r="A832" s="95"/>
    </row>
    <row r="833">
      <c r="A833" s="95"/>
    </row>
    <row r="834">
      <c r="A834" s="95"/>
    </row>
    <row r="835">
      <c r="A835" s="95"/>
    </row>
    <row r="836">
      <c r="A836" s="95"/>
    </row>
    <row r="837">
      <c r="A837" s="95"/>
    </row>
    <row r="838">
      <c r="A838" s="95"/>
    </row>
    <row r="839">
      <c r="A839" s="95"/>
    </row>
    <row r="840">
      <c r="A840" s="95"/>
    </row>
    <row r="841">
      <c r="A841" s="95"/>
    </row>
    <row r="842">
      <c r="A842" s="95"/>
    </row>
    <row r="843">
      <c r="A843" s="95"/>
    </row>
    <row r="844">
      <c r="A844" s="95"/>
    </row>
    <row r="845">
      <c r="A845" s="95"/>
    </row>
    <row r="846">
      <c r="A846" s="95"/>
    </row>
    <row r="847">
      <c r="A847" s="95"/>
    </row>
    <row r="848">
      <c r="A848" s="95"/>
    </row>
    <row r="849">
      <c r="A849" s="95"/>
    </row>
    <row r="850">
      <c r="A850" s="95"/>
    </row>
    <row r="851">
      <c r="A851" s="95"/>
    </row>
    <row r="852">
      <c r="A852" s="95"/>
    </row>
    <row r="853">
      <c r="A853" s="95"/>
    </row>
    <row r="854">
      <c r="A854" s="95"/>
    </row>
    <row r="855">
      <c r="A855" s="95"/>
    </row>
    <row r="856">
      <c r="A856" s="95"/>
    </row>
    <row r="857">
      <c r="A857" s="95"/>
    </row>
    <row r="858">
      <c r="A858" s="95"/>
    </row>
    <row r="859">
      <c r="A859" s="95"/>
    </row>
    <row r="860">
      <c r="A860" s="95"/>
    </row>
    <row r="861">
      <c r="A861" s="95"/>
    </row>
    <row r="862">
      <c r="A862" s="95"/>
    </row>
    <row r="863">
      <c r="A863" s="95"/>
    </row>
    <row r="864">
      <c r="A864" s="95"/>
    </row>
    <row r="865">
      <c r="A865" s="95"/>
    </row>
    <row r="866">
      <c r="A866" s="95"/>
    </row>
    <row r="867">
      <c r="A867" s="95"/>
    </row>
    <row r="868">
      <c r="A868" s="95"/>
    </row>
    <row r="869">
      <c r="A869" s="95"/>
    </row>
    <row r="870">
      <c r="A870" s="95"/>
    </row>
    <row r="871">
      <c r="A871" s="95"/>
    </row>
    <row r="872">
      <c r="A872" s="95"/>
    </row>
    <row r="873">
      <c r="A873" s="95"/>
    </row>
    <row r="874">
      <c r="A874" s="95"/>
    </row>
    <row r="875">
      <c r="A875" s="95"/>
    </row>
    <row r="876">
      <c r="A876" s="95"/>
    </row>
    <row r="877">
      <c r="A877" s="95"/>
    </row>
    <row r="878">
      <c r="A878" s="95"/>
    </row>
    <row r="879">
      <c r="A879" s="95"/>
    </row>
    <row r="880">
      <c r="A880" s="95"/>
    </row>
    <row r="881">
      <c r="A881" s="95"/>
    </row>
    <row r="882">
      <c r="A882" s="95"/>
    </row>
    <row r="883">
      <c r="A883" s="95"/>
    </row>
    <row r="884">
      <c r="A884" s="95"/>
    </row>
    <row r="885">
      <c r="A885" s="95"/>
    </row>
    <row r="886">
      <c r="A886" s="95"/>
    </row>
    <row r="887">
      <c r="A887" s="95"/>
    </row>
    <row r="888">
      <c r="A888" s="95"/>
    </row>
    <row r="889">
      <c r="A889" s="95"/>
    </row>
    <row r="890">
      <c r="A890" s="95"/>
    </row>
    <row r="891">
      <c r="A891" s="95"/>
    </row>
    <row r="892">
      <c r="A892" s="95"/>
    </row>
    <row r="893">
      <c r="A893" s="95"/>
    </row>
    <row r="894">
      <c r="A894" s="95"/>
    </row>
    <row r="895">
      <c r="A895" s="95"/>
    </row>
    <row r="896">
      <c r="A896" s="95"/>
    </row>
    <row r="897">
      <c r="A897" s="95"/>
    </row>
    <row r="898">
      <c r="A898" s="95"/>
    </row>
    <row r="899">
      <c r="A899" s="95"/>
    </row>
    <row r="900">
      <c r="A900" s="95"/>
    </row>
    <row r="901">
      <c r="A901" s="95"/>
    </row>
    <row r="902">
      <c r="A902" s="95"/>
    </row>
    <row r="903">
      <c r="A903" s="95"/>
    </row>
    <row r="904">
      <c r="A904" s="95"/>
    </row>
    <row r="905">
      <c r="A905" s="95"/>
    </row>
    <row r="906">
      <c r="A906" s="95"/>
    </row>
    <row r="907">
      <c r="A907" s="95"/>
    </row>
    <row r="908">
      <c r="A908" s="95"/>
    </row>
    <row r="909">
      <c r="A909" s="95"/>
    </row>
    <row r="910">
      <c r="A910" s="95"/>
    </row>
    <row r="911">
      <c r="A911" s="95"/>
    </row>
    <row r="912">
      <c r="A912" s="95"/>
    </row>
    <row r="913">
      <c r="A913" s="95"/>
    </row>
    <row r="914">
      <c r="A914" s="95"/>
    </row>
    <row r="915">
      <c r="A915" s="95"/>
    </row>
    <row r="916">
      <c r="A916" s="95"/>
    </row>
    <row r="917">
      <c r="A917" s="95"/>
    </row>
    <row r="918">
      <c r="A918" s="95"/>
    </row>
    <row r="919">
      <c r="A919" s="95"/>
    </row>
    <row r="920">
      <c r="A920" s="95"/>
    </row>
    <row r="921">
      <c r="A921" s="95"/>
    </row>
    <row r="922">
      <c r="A922" s="95"/>
    </row>
    <row r="923">
      <c r="A923" s="95"/>
    </row>
    <row r="924">
      <c r="A924" s="95"/>
    </row>
    <row r="925">
      <c r="A925" s="95"/>
    </row>
    <row r="926">
      <c r="A926" s="95"/>
    </row>
    <row r="927">
      <c r="A927" s="95"/>
    </row>
    <row r="928">
      <c r="A928" s="95"/>
    </row>
    <row r="929">
      <c r="A929" s="95"/>
    </row>
    <row r="930">
      <c r="A930" s="95"/>
    </row>
    <row r="931">
      <c r="A931" s="95"/>
    </row>
    <row r="932">
      <c r="A932" s="95"/>
    </row>
    <row r="933">
      <c r="A933" s="95"/>
    </row>
    <row r="934">
      <c r="A934" s="95"/>
    </row>
    <row r="935">
      <c r="A935" s="95"/>
    </row>
    <row r="936">
      <c r="A936" s="95"/>
    </row>
    <row r="937">
      <c r="A937" s="95"/>
    </row>
    <row r="938">
      <c r="A938" s="95"/>
    </row>
    <row r="939">
      <c r="A939" s="95"/>
    </row>
    <row r="940">
      <c r="A940" s="95"/>
    </row>
    <row r="941">
      <c r="A941" s="95"/>
    </row>
    <row r="942">
      <c r="A942" s="95"/>
    </row>
    <row r="943">
      <c r="A943" s="95"/>
    </row>
    <row r="944">
      <c r="A944" s="95"/>
    </row>
    <row r="945">
      <c r="A945" s="95"/>
    </row>
    <row r="946">
      <c r="A946" s="95"/>
    </row>
    <row r="947">
      <c r="A947" s="95"/>
    </row>
    <row r="948">
      <c r="A948" s="95"/>
    </row>
    <row r="949">
      <c r="A949" s="95"/>
    </row>
    <row r="950">
      <c r="A950" s="95"/>
    </row>
    <row r="951">
      <c r="A951" s="95"/>
    </row>
    <row r="952">
      <c r="A952" s="95"/>
    </row>
    <row r="953">
      <c r="A953" s="95"/>
    </row>
    <row r="954">
      <c r="A954" s="95"/>
    </row>
    <row r="955">
      <c r="A955" s="95"/>
    </row>
    <row r="956">
      <c r="A956" s="95"/>
    </row>
    <row r="957">
      <c r="A957" s="95"/>
    </row>
    <row r="958">
      <c r="A958" s="95"/>
    </row>
    <row r="959">
      <c r="A959" s="95"/>
    </row>
    <row r="960">
      <c r="A960" s="95"/>
    </row>
    <row r="961">
      <c r="A961" s="95"/>
    </row>
    <row r="962">
      <c r="A962" s="95"/>
    </row>
    <row r="963">
      <c r="A963" s="95"/>
    </row>
    <row r="964">
      <c r="A964" s="95"/>
    </row>
    <row r="965">
      <c r="A965" s="95"/>
    </row>
    <row r="966">
      <c r="A966" s="95"/>
    </row>
    <row r="967">
      <c r="A967" s="95"/>
    </row>
    <row r="968">
      <c r="A968" s="95"/>
    </row>
    <row r="969">
      <c r="A969" s="95"/>
    </row>
    <row r="970">
      <c r="A970" s="95"/>
    </row>
    <row r="971">
      <c r="A971" s="95"/>
    </row>
    <row r="972">
      <c r="A972" s="95"/>
    </row>
    <row r="973">
      <c r="A973" s="95"/>
    </row>
    <row r="974">
      <c r="A974" s="95"/>
    </row>
    <row r="975">
      <c r="A975" s="95"/>
    </row>
    <row r="976">
      <c r="A976" s="95"/>
    </row>
    <row r="977">
      <c r="A977" s="95"/>
    </row>
    <row r="978">
      <c r="A978" s="95"/>
    </row>
    <row r="979">
      <c r="A979" s="95"/>
    </row>
    <row r="980">
      <c r="A980" s="95"/>
    </row>
    <row r="981">
      <c r="A981" s="95"/>
    </row>
    <row r="982">
      <c r="A982" s="95"/>
    </row>
    <row r="983">
      <c r="A983" s="95"/>
    </row>
    <row r="984">
      <c r="A984" s="95"/>
    </row>
    <row r="985">
      <c r="A985" s="95"/>
    </row>
    <row r="986">
      <c r="A986" s="95"/>
    </row>
    <row r="987">
      <c r="A987" s="95"/>
    </row>
    <row r="988">
      <c r="A988" s="95"/>
    </row>
    <row r="989">
      <c r="A989" s="95"/>
    </row>
    <row r="990">
      <c r="A990" s="95"/>
    </row>
    <row r="991">
      <c r="A991" s="95"/>
    </row>
    <row r="992">
      <c r="A992" s="95"/>
    </row>
    <row r="993">
      <c r="A993" s="95"/>
    </row>
    <row r="994">
      <c r="A994" s="95"/>
    </row>
    <row r="995">
      <c r="A995" s="95"/>
    </row>
    <row r="996">
      <c r="A996" s="95"/>
    </row>
    <row r="997">
      <c r="A997" s="95"/>
    </row>
    <row r="998">
      <c r="A998" s="95"/>
    </row>
    <row r="999">
      <c r="A999" s="95"/>
    </row>
    <row r="1000">
      <c r="A1000" s="95"/>
    </row>
  </sheetData>
  <autoFilter ref="$A$2:$K$120"/>
  <dataValidations>
    <dataValidation type="list" allowBlank="1" showErrorMessage="1" sqref="F3:F120">
      <formula1>"Central Java,East Java,West Java"</formula1>
    </dataValidation>
    <dataValidation type="list" allowBlank="1" showErrorMessage="1" sqref="H3:H120">
      <formula1>"Aktive,Completed"</formula1>
    </dataValidation>
    <dataValidation type="list" allowBlank="1" showErrorMessage="1" sqref="I3:I120">
      <formula1>"Belum Diproses,Sedang Diproses,Sudah Dikirim"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63"/>
    <col customWidth="1" min="3" max="3" width="26.75"/>
    <col customWidth="1" min="4" max="4" width="30.5"/>
    <col customWidth="1" min="5" max="5" width="33.0"/>
    <col customWidth="1" min="7" max="7" width="31.13"/>
    <col customWidth="1" min="8" max="8" width="13.13"/>
  </cols>
  <sheetData>
    <row r="1">
      <c r="A1" s="4"/>
      <c r="B1" s="6" t="s">
        <v>1</v>
      </c>
      <c r="C1" s="6" t="s">
        <v>2</v>
      </c>
      <c r="D1" s="6" t="s">
        <v>3</v>
      </c>
      <c r="E1" s="6" t="s">
        <v>4</v>
      </c>
      <c r="F1" s="10" t="s">
        <v>5</v>
      </c>
      <c r="G1" s="6" t="s">
        <v>7</v>
      </c>
      <c r="H1" s="12" t="s">
        <v>8</v>
      </c>
      <c r="I1" s="12" t="s">
        <v>12</v>
      </c>
      <c r="J1" s="12" t="s">
        <v>14</v>
      </c>
      <c r="K1" s="12" t="s">
        <v>16</v>
      </c>
    </row>
    <row r="2">
      <c r="A2" s="4">
        <v>1.0</v>
      </c>
      <c r="B2" s="14" t="s">
        <v>18</v>
      </c>
      <c r="C2" s="14" t="s">
        <v>19</v>
      </c>
      <c r="D2" s="17" t="s">
        <v>20</v>
      </c>
      <c r="E2" s="17" t="s">
        <v>23</v>
      </c>
      <c r="F2" s="26" t="s">
        <v>37</v>
      </c>
      <c r="G2" s="17" t="s">
        <v>39</v>
      </c>
      <c r="H2" s="24" t="s">
        <v>42</v>
      </c>
      <c r="I2" s="24" t="s">
        <v>46</v>
      </c>
      <c r="J2" s="28"/>
      <c r="K2" s="28"/>
    </row>
    <row r="3">
      <c r="A3" s="4">
        <v>2.0</v>
      </c>
      <c r="B3" s="14" t="s">
        <v>51</v>
      </c>
      <c r="C3" s="14" t="s">
        <v>53</v>
      </c>
      <c r="D3" s="17" t="s">
        <v>54</v>
      </c>
      <c r="E3" s="17" t="s">
        <v>55</v>
      </c>
      <c r="F3" s="26" t="s">
        <v>37</v>
      </c>
      <c r="G3" s="17" t="s">
        <v>56</v>
      </c>
      <c r="H3" s="24" t="s">
        <v>42</v>
      </c>
      <c r="I3" s="24" t="s">
        <v>46</v>
      </c>
      <c r="J3" s="28"/>
      <c r="K3" s="28"/>
    </row>
    <row r="4">
      <c r="A4" s="4">
        <v>3.0</v>
      </c>
      <c r="B4" s="31" t="s">
        <v>61</v>
      </c>
      <c r="C4" s="33" t="s">
        <v>78</v>
      </c>
      <c r="D4" s="26" t="s">
        <v>63</v>
      </c>
      <c r="E4" s="26" t="s">
        <v>65</v>
      </c>
      <c r="F4" s="26" t="s">
        <v>37</v>
      </c>
      <c r="G4" s="26" t="s">
        <v>67</v>
      </c>
      <c r="H4" s="24" t="s">
        <v>69</v>
      </c>
      <c r="I4" s="28"/>
      <c r="J4" s="28"/>
      <c r="K4" s="28"/>
    </row>
    <row r="5">
      <c r="A5" s="4">
        <v>4.0</v>
      </c>
      <c r="B5" s="14" t="s">
        <v>71</v>
      </c>
      <c r="C5" s="14" t="s">
        <v>32</v>
      </c>
      <c r="D5" s="26" t="s">
        <v>72</v>
      </c>
      <c r="E5" s="17"/>
      <c r="F5" s="26" t="s">
        <v>37</v>
      </c>
      <c r="G5" s="26" t="s">
        <v>73</v>
      </c>
      <c r="H5" s="28"/>
      <c r="I5" s="28"/>
      <c r="J5" s="28"/>
      <c r="K5" s="28"/>
    </row>
    <row r="6">
      <c r="A6" s="4">
        <v>5.0</v>
      </c>
      <c r="B6" s="31" t="s">
        <v>76</v>
      </c>
      <c r="C6" s="32" t="s">
        <v>80</v>
      </c>
      <c r="D6" s="26" t="s">
        <v>54</v>
      </c>
      <c r="E6" s="26" t="s">
        <v>55</v>
      </c>
      <c r="F6" s="26" t="s">
        <v>37</v>
      </c>
      <c r="G6" s="26" t="s">
        <v>102</v>
      </c>
      <c r="H6" s="28"/>
      <c r="I6" s="28"/>
      <c r="J6" s="28"/>
      <c r="K6" s="28"/>
    </row>
    <row r="7">
      <c r="A7" s="4">
        <v>6.0</v>
      </c>
      <c r="B7" s="14" t="s">
        <v>21</v>
      </c>
      <c r="C7" s="14" t="s">
        <v>19</v>
      </c>
      <c r="D7" s="26" t="s">
        <v>63</v>
      </c>
      <c r="E7" s="26" t="s">
        <v>83</v>
      </c>
      <c r="F7" s="26" t="s">
        <v>37</v>
      </c>
      <c r="G7" s="34" t="s">
        <v>87</v>
      </c>
      <c r="H7" s="24" t="s">
        <v>69</v>
      </c>
      <c r="I7" s="24"/>
      <c r="J7" s="28"/>
      <c r="K7" s="28"/>
      <c r="L7" s="30" t="s">
        <v>91</v>
      </c>
    </row>
    <row r="8">
      <c r="A8" s="4">
        <v>7.0</v>
      </c>
      <c r="B8" s="14" t="s">
        <v>31</v>
      </c>
      <c r="C8" s="31" t="s">
        <v>32</v>
      </c>
      <c r="D8" s="26" t="s">
        <v>63</v>
      </c>
      <c r="E8" s="26" t="s">
        <v>95</v>
      </c>
      <c r="F8" s="26" t="s">
        <v>37</v>
      </c>
      <c r="G8" s="34" t="s">
        <v>97</v>
      </c>
      <c r="H8" s="24" t="s">
        <v>69</v>
      </c>
      <c r="I8" s="28"/>
      <c r="J8" s="28"/>
      <c r="K8" s="28"/>
      <c r="L8" s="30" t="s">
        <v>100</v>
      </c>
    </row>
    <row r="9">
      <c r="A9" s="4">
        <v>8.0</v>
      </c>
      <c r="B9" s="32" t="s">
        <v>101</v>
      </c>
      <c r="C9" s="32" t="s">
        <v>103</v>
      </c>
      <c r="D9" s="17" t="s">
        <v>20</v>
      </c>
      <c r="E9" s="17" t="s">
        <v>55</v>
      </c>
      <c r="F9" s="26" t="s">
        <v>37</v>
      </c>
      <c r="G9" s="17" t="s">
        <v>105</v>
      </c>
      <c r="H9" s="24" t="s">
        <v>42</v>
      </c>
      <c r="I9" s="24" t="s">
        <v>46</v>
      </c>
      <c r="J9" s="28"/>
      <c r="K9" s="28"/>
    </row>
    <row r="10">
      <c r="A10" s="4">
        <v>9.0</v>
      </c>
      <c r="B10" s="17" t="s">
        <v>36</v>
      </c>
      <c r="C10" s="17" t="s">
        <v>32</v>
      </c>
      <c r="D10" s="17" t="s">
        <v>108</v>
      </c>
      <c r="E10" s="17" t="s">
        <v>55</v>
      </c>
      <c r="F10" s="26" t="s">
        <v>37</v>
      </c>
      <c r="G10" s="41" t="s">
        <v>109</v>
      </c>
      <c r="H10" s="28"/>
      <c r="I10" s="24" t="s">
        <v>111</v>
      </c>
      <c r="J10" s="28"/>
      <c r="K10" s="28"/>
    </row>
    <row r="11">
      <c r="A11" s="4">
        <v>10.0</v>
      </c>
      <c r="B11" s="14" t="s">
        <v>112</v>
      </c>
      <c r="C11" s="14" t="s">
        <v>113</v>
      </c>
      <c r="D11" s="17" t="s">
        <v>20</v>
      </c>
      <c r="E11" s="17" t="s">
        <v>55</v>
      </c>
      <c r="F11" s="26" t="s">
        <v>37</v>
      </c>
      <c r="G11" s="17" t="s">
        <v>105</v>
      </c>
      <c r="H11" s="24" t="s">
        <v>42</v>
      </c>
      <c r="I11" s="24" t="s">
        <v>46</v>
      </c>
      <c r="J11" s="28"/>
      <c r="K11" s="28"/>
    </row>
    <row r="12">
      <c r="A12" s="4">
        <v>11.0</v>
      </c>
      <c r="B12" s="32" t="s">
        <v>41</v>
      </c>
      <c r="C12" s="32" t="s">
        <v>19</v>
      </c>
      <c r="D12" s="26" t="s">
        <v>63</v>
      </c>
      <c r="E12" s="26" t="s">
        <v>115</v>
      </c>
      <c r="F12" s="26" t="s">
        <v>37</v>
      </c>
      <c r="G12" s="34" t="s">
        <v>116</v>
      </c>
      <c r="H12" s="24" t="s">
        <v>69</v>
      </c>
      <c r="I12" s="28"/>
      <c r="J12" s="28"/>
      <c r="K12" s="28"/>
    </row>
    <row r="13">
      <c r="A13" s="4">
        <v>12.0</v>
      </c>
      <c r="B13" s="32" t="s">
        <v>119</v>
      </c>
      <c r="C13" s="32" t="s">
        <v>19</v>
      </c>
      <c r="D13" s="17" t="s">
        <v>20</v>
      </c>
      <c r="E13" s="17" t="s">
        <v>55</v>
      </c>
      <c r="F13" s="26" t="s">
        <v>37</v>
      </c>
      <c r="G13" s="19" t="s">
        <v>122</v>
      </c>
      <c r="H13" s="24" t="s">
        <v>69</v>
      </c>
      <c r="I13" s="24" t="s">
        <v>46</v>
      </c>
      <c r="J13" s="28"/>
      <c r="K13" s="28"/>
    </row>
    <row r="14">
      <c r="A14" s="4">
        <v>13.0</v>
      </c>
      <c r="B14" s="32" t="s">
        <v>124</v>
      </c>
      <c r="C14" s="32" t="s">
        <v>125</v>
      </c>
      <c r="D14" s="26" t="s">
        <v>72</v>
      </c>
      <c r="E14" s="26" t="s">
        <v>126</v>
      </c>
      <c r="F14" s="26" t="s">
        <v>37</v>
      </c>
      <c r="G14" s="26" t="s">
        <v>127</v>
      </c>
      <c r="H14" s="24" t="s">
        <v>42</v>
      </c>
      <c r="I14" s="24" t="s">
        <v>128</v>
      </c>
      <c r="J14" s="28"/>
      <c r="K14" s="28"/>
      <c r="L14" s="30">
        <v>1.2020223140144E13</v>
      </c>
    </row>
    <row r="15">
      <c r="A15" s="4">
        <v>14.0</v>
      </c>
      <c r="B15" s="14" t="s">
        <v>131</v>
      </c>
      <c r="C15" s="14" t="s">
        <v>103</v>
      </c>
      <c r="D15" s="17" t="s">
        <v>20</v>
      </c>
      <c r="E15" s="17" t="s">
        <v>55</v>
      </c>
      <c r="F15" s="26" t="s">
        <v>37</v>
      </c>
      <c r="G15" s="17" t="s">
        <v>105</v>
      </c>
      <c r="H15" s="24" t="s">
        <v>42</v>
      </c>
      <c r="I15" s="24" t="s">
        <v>46</v>
      </c>
      <c r="J15" s="28"/>
      <c r="K15" s="28"/>
    </row>
    <row r="16">
      <c r="A16" s="4">
        <v>15.0</v>
      </c>
      <c r="B16" s="32" t="s">
        <v>132</v>
      </c>
      <c r="C16" s="32" t="s">
        <v>19</v>
      </c>
      <c r="D16" s="17" t="s">
        <v>54</v>
      </c>
      <c r="E16" s="17" t="s">
        <v>134</v>
      </c>
      <c r="F16" s="26" t="s">
        <v>37</v>
      </c>
      <c r="G16" s="17" t="s">
        <v>135</v>
      </c>
      <c r="H16" s="24" t="s">
        <v>42</v>
      </c>
      <c r="I16" s="24" t="s">
        <v>46</v>
      </c>
      <c r="J16" s="28"/>
      <c r="K16" s="28"/>
    </row>
    <row r="17">
      <c r="A17" s="4">
        <v>16.0</v>
      </c>
      <c r="B17" s="14" t="s">
        <v>137</v>
      </c>
      <c r="C17" s="14" t="s">
        <v>138</v>
      </c>
      <c r="D17" s="17" t="s">
        <v>139</v>
      </c>
      <c r="E17" s="17" t="s">
        <v>55</v>
      </c>
      <c r="F17" s="26" t="s">
        <v>37</v>
      </c>
      <c r="G17" s="17" t="s">
        <v>141</v>
      </c>
      <c r="H17" s="24" t="s">
        <v>42</v>
      </c>
      <c r="I17" s="24" t="s">
        <v>46</v>
      </c>
      <c r="J17" s="28"/>
      <c r="K17" s="28"/>
    </row>
    <row r="18">
      <c r="A18" s="4">
        <v>17.0</v>
      </c>
      <c r="B18" s="14" t="s">
        <v>143</v>
      </c>
      <c r="C18" s="14" t="s">
        <v>58</v>
      </c>
      <c r="D18" s="17" t="s">
        <v>54</v>
      </c>
      <c r="E18" s="17" t="s">
        <v>144</v>
      </c>
      <c r="F18" s="26" t="s">
        <v>37</v>
      </c>
      <c r="G18" s="27" t="s">
        <v>146</v>
      </c>
      <c r="H18" s="24" t="s">
        <v>42</v>
      </c>
      <c r="I18" s="24" t="s">
        <v>46</v>
      </c>
      <c r="J18" s="28"/>
      <c r="K18" s="28"/>
    </row>
    <row r="19">
      <c r="A19" s="4">
        <v>18.0</v>
      </c>
      <c r="B19" s="14" t="s">
        <v>148</v>
      </c>
      <c r="C19" s="14" t="s">
        <v>27</v>
      </c>
      <c r="D19" s="17" t="s">
        <v>72</v>
      </c>
      <c r="E19" s="17" t="s">
        <v>149</v>
      </c>
      <c r="F19" s="26" t="s">
        <v>37</v>
      </c>
      <c r="G19" s="17" t="s">
        <v>135</v>
      </c>
      <c r="H19" s="24" t="s">
        <v>42</v>
      </c>
      <c r="I19" s="24" t="s">
        <v>46</v>
      </c>
      <c r="J19" s="28"/>
      <c r="K19" s="28"/>
    </row>
    <row r="20">
      <c r="A20" s="4">
        <v>19.0</v>
      </c>
      <c r="B20" s="14" t="s">
        <v>151</v>
      </c>
      <c r="C20" s="14" t="s">
        <v>113</v>
      </c>
      <c r="D20" s="17" t="s">
        <v>72</v>
      </c>
      <c r="E20" s="17" t="s">
        <v>55</v>
      </c>
      <c r="F20" s="26" t="s">
        <v>37</v>
      </c>
      <c r="G20" s="17" t="s">
        <v>152</v>
      </c>
      <c r="H20" s="24" t="s">
        <v>42</v>
      </c>
      <c r="I20" s="24" t="s">
        <v>46</v>
      </c>
      <c r="J20" s="28"/>
      <c r="K20" s="28"/>
    </row>
    <row r="21">
      <c r="A21" s="4">
        <v>20.0</v>
      </c>
      <c r="B21" s="31" t="s">
        <v>153</v>
      </c>
      <c r="C21" s="48" t="s">
        <v>78</v>
      </c>
      <c r="D21" s="26" t="s">
        <v>155</v>
      </c>
      <c r="E21" s="26" t="s">
        <v>65</v>
      </c>
      <c r="F21" s="26" t="s">
        <v>37</v>
      </c>
      <c r="G21" s="26" t="s">
        <v>67</v>
      </c>
      <c r="H21" s="24" t="s">
        <v>69</v>
      </c>
      <c r="I21" s="28"/>
      <c r="J21" s="28"/>
      <c r="K21" s="28"/>
    </row>
    <row r="22">
      <c r="A22" s="4">
        <v>21.0</v>
      </c>
      <c r="B22" s="32" t="s">
        <v>158</v>
      </c>
      <c r="C22" s="32" t="s">
        <v>159</v>
      </c>
      <c r="D22" s="17" t="s">
        <v>139</v>
      </c>
      <c r="E22" s="17" t="s">
        <v>55</v>
      </c>
      <c r="F22" s="26" t="s">
        <v>37</v>
      </c>
      <c r="G22" s="17" t="s">
        <v>160</v>
      </c>
      <c r="H22" s="24" t="s">
        <v>42</v>
      </c>
      <c r="I22" s="24" t="s">
        <v>46</v>
      </c>
      <c r="J22" s="28"/>
      <c r="K22" s="28"/>
    </row>
    <row r="23">
      <c r="A23" s="4">
        <v>22.0</v>
      </c>
      <c r="B23" s="14" t="s">
        <v>162</v>
      </c>
      <c r="C23" s="14" t="s">
        <v>163</v>
      </c>
      <c r="D23" s="17" t="s">
        <v>72</v>
      </c>
      <c r="E23" s="17" t="s">
        <v>149</v>
      </c>
      <c r="F23" s="26" t="s">
        <v>37</v>
      </c>
      <c r="G23" s="17" t="s">
        <v>135</v>
      </c>
      <c r="H23" s="24" t="s">
        <v>42</v>
      </c>
      <c r="I23" s="24" t="s">
        <v>46</v>
      </c>
      <c r="J23" s="28"/>
      <c r="K23" s="28"/>
    </row>
    <row r="24">
      <c r="A24" s="4">
        <v>23.0</v>
      </c>
      <c r="B24" s="14" t="s">
        <v>165</v>
      </c>
      <c r="C24" s="14" t="s">
        <v>166</v>
      </c>
      <c r="D24" s="17" t="s">
        <v>167</v>
      </c>
      <c r="E24" s="17" t="s">
        <v>168</v>
      </c>
      <c r="F24" s="26" t="s">
        <v>37</v>
      </c>
      <c r="G24" s="17" t="s">
        <v>169</v>
      </c>
      <c r="H24" s="24" t="s">
        <v>69</v>
      </c>
      <c r="I24" s="24" t="s">
        <v>46</v>
      </c>
      <c r="J24" s="28"/>
      <c r="K24" s="28"/>
    </row>
    <row r="25">
      <c r="A25" s="4">
        <v>24.0</v>
      </c>
      <c r="B25" s="32" t="s">
        <v>172</v>
      </c>
      <c r="C25" s="32" t="s">
        <v>19</v>
      </c>
      <c r="D25" s="17" t="s">
        <v>72</v>
      </c>
      <c r="E25" s="17" t="s">
        <v>174</v>
      </c>
      <c r="F25" s="26" t="s">
        <v>37</v>
      </c>
      <c r="G25" s="17" t="s">
        <v>135</v>
      </c>
      <c r="H25" s="24" t="s">
        <v>42</v>
      </c>
      <c r="I25" s="24" t="s">
        <v>46</v>
      </c>
      <c r="J25" s="28"/>
      <c r="K25" s="28"/>
    </row>
    <row r="26">
      <c r="A26" s="4">
        <v>25.0</v>
      </c>
      <c r="B26" s="32" t="s">
        <v>176</v>
      </c>
      <c r="C26" s="32" t="s">
        <v>177</v>
      </c>
      <c r="D26" s="17" t="s">
        <v>20</v>
      </c>
      <c r="E26" s="17" t="s">
        <v>55</v>
      </c>
      <c r="F26" s="26" t="s">
        <v>37</v>
      </c>
      <c r="G26" s="17" t="s">
        <v>105</v>
      </c>
      <c r="H26" s="24" t="s">
        <v>42</v>
      </c>
      <c r="I26" s="24" t="s">
        <v>46</v>
      </c>
      <c r="J26" s="28"/>
      <c r="K26" s="28"/>
    </row>
    <row r="27">
      <c r="A27" s="4">
        <v>26.0</v>
      </c>
      <c r="B27" s="32" t="s">
        <v>179</v>
      </c>
      <c r="C27" s="32" t="s">
        <v>19</v>
      </c>
      <c r="D27" s="17" t="s">
        <v>20</v>
      </c>
      <c r="E27" s="17" t="s">
        <v>23</v>
      </c>
      <c r="F27" s="26" t="s">
        <v>37</v>
      </c>
      <c r="G27" s="17" t="s">
        <v>39</v>
      </c>
      <c r="H27" s="24" t="s">
        <v>42</v>
      </c>
      <c r="I27" s="24" t="s">
        <v>46</v>
      </c>
      <c r="J27" s="28"/>
      <c r="K27" s="28"/>
    </row>
    <row r="28">
      <c r="A28" s="4">
        <v>27.0</v>
      </c>
      <c r="B28" s="17" t="s">
        <v>48</v>
      </c>
      <c r="C28" s="17" t="s">
        <v>32</v>
      </c>
      <c r="D28" s="17" t="s">
        <v>108</v>
      </c>
      <c r="E28" s="17" t="s">
        <v>55</v>
      </c>
      <c r="F28" s="26" t="s">
        <v>37</v>
      </c>
      <c r="G28" s="41" t="s">
        <v>184</v>
      </c>
      <c r="H28" s="28"/>
      <c r="I28" s="28"/>
      <c r="J28" s="28"/>
      <c r="K28" s="28"/>
    </row>
    <row r="29">
      <c r="A29" s="4">
        <v>28.0</v>
      </c>
      <c r="B29" s="14" t="s">
        <v>186</v>
      </c>
      <c r="C29" s="14" t="s">
        <v>53</v>
      </c>
      <c r="D29" s="17" t="s">
        <v>20</v>
      </c>
      <c r="E29" s="17" t="s">
        <v>55</v>
      </c>
      <c r="F29" s="26" t="s">
        <v>37</v>
      </c>
      <c r="G29" s="17" t="s">
        <v>105</v>
      </c>
      <c r="H29" s="24" t="s">
        <v>42</v>
      </c>
      <c r="I29" s="24" t="s">
        <v>46</v>
      </c>
      <c r="J29" s="28"/>
      <c r="K29" s="28"/>
    </row>
    <row r="30">
      <c r="A30" s="4">
        <v>29.0</v>
      </c>
      <c r="B30" s="32" t="s">
        <v>188</v>
      </c>
      <c r="C30" s="32" t="s">
        <v>189</v>
      </c>
      <c r="D30" s="17" t="s">
        <v>20</v>
      </c>
      <c r="E30" s="17" t="s">
        <v>55</v>
      </c>
      <c r="F30" s="26" t="s">
        <v>37</v>
      </c>
      <c r="G30" s="17" t="s">
        <v>105</v>
      </c>
      <c r="H30" s="24" t="s">
        <v>42</v>
      </c>
      <c r="I30" s="24" t="s">
        <v>46</v>
      </c>
      <c r="J30" s="28"/>
      <c r="K30" s="28"/>
    </row>
    <row r="31">
      <c r="A31" s="4">
        <v>30.0</v>
      </c>
      <c r="B31" s="14" t="s">
        <v>190</v>
      </c>
      <c r="C31" s="14" t="s">
        <v>191</v>
      </c>
      <c r="D31" s="26" t="s">
        <v>54</v>
      </c>
      <c r="E31" s="26" t="s">
        <v>55</v>
      </c>
      <c r="F31" s="26" t="s">
        <v>37</v>
      </c>
      <c r="G31" s="26" t="s">
        <v>220</v>
      </c>
      <c r="H31" s="28"/>
      <c r="I31" s="28"/>
      <c r="J31" s="28"/>
      <c r="K31" s="28"/>
    </row>
    <row r="32">
      <c r="A32" s="4">
        <v>31.0</v>
      </c>
      <c r="B32" s="14" t="s">
        <v>52</v>
      </c>
      <c r="C32" s="31" t="s">
        <v>32</v>
      </c>
      <c r="D32" s="26" t="s">
        <v>63</v>
      </c>
      <c r="E32" s="26" t="s">
        <v>95</v>
      </c>
      <c r="F32" s="26" t="s">
        <v>37</v>
      </c>
      <c r="G32" s="34" t="s">
        <v>97</v>
      </c>
      <c r="H32" s="24" t="s">
        <v>69</v>
      </c>
      <c r="I32" s="28"/>
      <c r="J32" s="28"/>
      <c r="K32" s="28"/>
    </row>
    <row r="33">
      <c r="A33" s="4">
        <v>32.0</v>
      </c>
      <c r="B33" s="31" t="s">
        <v>194</v>
      </c>
      <c r="C33" s="48" t="s">
        <v>78</v>
      </c>
      <c r="D33" s="26" t="s">
        <v>63</v>
      </c>
      <c r="E33" s="26" t="s">
        <v>65</v>
      </c>
      <c r="F33" s="26" t="s">
        <v>37</v>
      </c>
      <c r="G33" s="26" t="s">
        <v>195</v>
      </c>
      <c r="H33" s="24" t="s">
        <v>69</v>
      </c>
      <c r="I33" s="28"/>
      <c r="J33" s="28"/>
      <c r="K33" s="28"/>
    </row>
    <row r="34">
      <c r="A34" s="4">
        <v>33.0</v>
      </c>
      <c r="B34" s="6" t="s">
        <v>197</v>
      </c>
      <c r="C34" s="17" t="s">
        <v>198</v>
      </c>
      <c r="D34" s="17" t="s">
        <v>199</v>
      </c>
      <c r="E34" s="17" t="s">
        <v>200</v>
      </c>
      <c r="F34" s="26" t="s">
        <v>37</v>
      </c>
      <c r="G34" s="17" t="s">
        <v>203</v>
      </c>
      <c r="H34" s="24" t="s">
        <v>69</v>
      </c>
      <c r="I34" s="28"/>
      <c r="J34" s="28"/>
      <c r="K34" s="28"/>
    </row>
    <row r="35">
      <c r="A35" s="4">
        <v>34.0</v>
      </c>
      <c r="B35" s="6" t="s">
        <v>204</v>
      </c>
      <c r="C35" s="14" t="s">
        <v>113</v>
      </c>
      <c r="D35" s="17" t="s">
        <v>72</v>
      </c>
      <c r="E35" s="17" t="s">
        <v>55</v>
      </c>
      <c r="F35" s="26" t="s">
        <v>37</v>
      </c>
      <c r="G35" s="19" t="s">
        <v>206</v>
      </c>
      <c r="H35" s="24" t="s">
        <v>42</v>
      </c>
      <c r="I35" s="24" t="s">
        <v>46</v>
      </c>
      <c r="J35" s="28"/>
      <c r="K35" s="28"/>
      <c r="L35" s="30" t="s">
        <v>237</v>
      </c>
    </row>
    <row r="36">
      <c r="A36" s="4">
        <v>35.0</v>
      </c>
      <c r="B36" s="32" t="s">
        <v>208</v>
      </c>
      <c r="C36" s="32" t="s">
        <v>209</v>
      </c>
      <c r="D36" s="17" t="s">
        <v>20</v>
      </c>
      <c r="E36" s="17" t="s">
        <v>55</v>
      </c>
      <c r="F36" s="26" t="s">
        <v>37</v>
      </c>
      <c r="G36" s="17" t="s">
        <v>105</v>
      </c>
      <c r="H36" s="24" t="s">
        <v>42</v>
      </c>
      <c r="I36" s="24" t="s">
        <v>46</v>
      </c>
      <c r="J36" s="28"/>
      <c r="K36" s="28"/>
    </row>
    <row r="37">
      <c r="A37" s="4">
        <v>36.0</v>
      </c>
      <c r="B37" s="14" t="s">
        <v>211</v>
      </c>
      <c r="C37" s="14" t="s">
        <v>19</v>
      </c>
      <c r="D37" s="17" t="s">
        <v>20</v>
      </c>
      <c r="E37" s="17" t="s">
        <v>23</v>
      </c>
      <c r="F37" s="26" t="s">
        <v>37</v>
      </c>
      <c r="G37" s="17" t="s">
        <v>39</v>
      </c>
      <c r="H37" s="24" t="s">
        <v>42</v>
      </c>
      <c r="I37" s="24" t="s">
        <v>46</v>
      </c>
      <c r="J37" s="28"/>
      <c r="K37" s="28"/>
    </row>
    <row r="38">
      <c r="A38" s="4">
        <v>37.0</v>
      </c>
      <c r="B38" s="17" t="s">
        <v>214</v>
      </c>
      <c r="C38" s="32" t="s">
        <v>177</v>
      </c>
      <c r="D38" s="17" t="s">
        <v>20</v>
      </c>
      <c r="E38" s="17" t="s">
        <v>55</v>
      </c>
      <c r="F38" s="26" t="s">
        <v>37</v>
      </c>
      <c r="G38" s="17" t="s">
        <v>105</v>
      </c>
      <c r="H38" s="24" t="s">
        <v>42</v>
      </c>
      <c r="I38" s="24" t="s">
        <v>46</v>
      </c>
      <c r="J38" s="28"/>
      <c r="K38" s="28"/>
    </row>
    <row r="39">
      <c r="A39" s="4">
        <v>38.0</v>
      </c>
      <c r="B39" s="17" t="s">
        <v>216</v>
      </c>
      <c r="C39" s="14" t="s">
        <v>58</v>
      </c>
      <c r="D39" s="17" t="s">
        <v>54</v>
      </c>
      <c r="E39" s="17" t="s">
        <v>144</v>
      </c>
      <c r="F39" s="26" t="s">
        <v>37</v>
      </c>
      <c r="G39" s="27" t="s">
        <v>146</v>
      </c>
      <c r="H39" s="24" t="s">
        <v>42</v>
      </c>
      <c r="I39" s="24" t="s">
        <v>46</v>
      </c>
      <c r="J39" s="28"/>
      <c r="K39" s="28"/>
    </row>
    <row r="40">
      <c r="A40" s="4">
        <v>39.0</v>
      </c>
      <c r="B40" s="17" t="s">
        <v>219</v>
      </c>
      <c r="C40" s="32" t="s">
        <v>113</v>
      </c>
      <c r="D40" s="17" t="s">
        <v>54</v>
      </c>
      <c r="E40" s="17" t="s">
        <v>55</v>
      </c>
      <c r="F40" s="26" t="s">
        <v>37</v>
      </c>
      <c r="G40" s="17" t="s">
        <v>222</v>
      </c>
      <c r="H40" s="24" t="s">
        <v>42</v>
      </c>
      <c r="I40" s="24" t="s">
        <v>46</v>
      </c>
      <c r="J40" s="28"/>
      <c r="K40" s="28"/>
    </row>
    <row r="41">
      <c r="A41" s="4">
        <v>40.0</v>
      </c>
      <c r="B41" s="32" t="s">
        <v>224</v>
      </c>
      <c r="C41" s="32" t="s">
        <v>166</v>
      </c>
      <c r="D41" s="17" t="s">
        <v>167</v>
      </c>
      <c r="E41" s="17" t="s">
        <v>168</v>
      </c>
      <c r="F41" s="26" t="s">
        <v>37</v>
      </c>
      <c r="G41" s="17" t="s">
        <v>169</v>
      </c>
      <c r="H41" s="24" t="s">
        <v>69</v>
      </c>
      <c r="I41" s="24" t="s">
        <v>46</v>
      </c>
      <c r="J41" s="28"/>
      <c r="K41" s="28"/>
    </row>
    <row r="42">
      <c r="A42" s="4">
        <v>41.0</v>
      </c>
      <c r="B42" s="14" t="s">
        <v>226</v>
      </c>
      <c r="C42" s="14" t="s">
        <v>177</v>
      </c>
      <c r="D42" s="17" t="s">
        <v>20</v>
      </c>
      <c r="E42" s="17" t="s">
        <v>55</v>
      </c>
      <c r="F42" s="26" t="s">
        <v>37</v>
      </c>
      <c r="G42" s="17" t="s">
        <v>105</v>
      </c>
      <c r="H42" s="24" t="s">
        <v>42</v>
      </c>
      <c r="I42" s="24" t="s">
        <v>46</v>
      </c>
      <c r="J42" s="28"/>
      <c r="K42" s="28"/>
    </row>
    <row r="43">
      <c r="A43" s="4">
        <v>42.0</v>
      </c>
      <c r="B43" s="32" t="s">
        <v>228</v>
      </c>
      <c r="C43" s="32" t="s">
        <v>177</v>
      </c>
      <c r="D43" s="17" t="s">
        <v>20</v>
      </c>
      <c r="E43" s="17" t="s">
        <v>55</v>
      </c>
      <c r="F43" s="26" t="s">
        <v>37</v>
      </c>
      <c r="G43" s="17" t="s">
        <v>105</v>
      </c>
      <c r="H43" s="24" t="s">
        <v>42</v>
      </c>
      <c r="I43" s="24" t="s">
        <v>46</v>
      </c>
      <c r="J43" s="28"/>
      <c r="K43" s="28"/>
    </row>
    <row r="44">
      <c r="A44" s="4">
        <v>43.0</v>
      </c>
      <c r="B44" s="6" t="s">
        <v>284</v>
      </c>
      <c r="C44" s="32" t="s">
        <v>80</v>
      </c>
      <c r="D44" s="17" t="s">
        <v>20</v>
      </c>
      <c r="E44" s="17" t="s">
        <v>287</v>
      </c>
      <c r="F44" s="26" t="s">
        <v>37</v>
      </c>
      <c r="G44" s="19" t="s">
        <v>288</v>
      </c>
      <c r="H44" s="24" t="s">
        <v>69</v>
      </c>
      <c r="I44" s="24" t="s">
        <v>46</v>
      </c>
      <c r="J44" s="28"/>
      <c r="K44" s="28"/>
    </row>
    <row r="45">
      <c r="A45" s="4">
        <v>44.0</v>
      </c>
      <c r="B45" s="17" t="s">
        <v>57</v>
      </c>
      <c r="C45" s="26" t="s">
        <v>58</v>
      </c>
      <c r="D45" s="17" t="s">
        <v>290</v>
      </c>
      <c r="E45" s="17" t="s">
        <v>291</v>
      </c>
      <c r="F45" s="26" t="s">
        <v>37</v>
      </c>
      <c r="G45" s="41" t="s">
        <v>292</v>
      </c>
      <c r="H45" s="24" t="s">
        <v>69</v>
      </c>
      <c r="I45" s="28"/>
      <c r="J45" s="28"/>
      <c r="K45" s="28"/>
    </row>
    <row r="46">
      <c r="A46" s="4">
        <v>45.0</v>
      </c>
      <c r="B46" s="17" t="s">
        <v>295</v>
      </c>
      <c r="C46" s="17"/>
      <c r="D46" s="17" t="s">
        <v>20</v>
      </c>
      <c r="E46" s="17" t="s">
        <v>55</v>
      </c>
      <c r="F46" s="26" t="s">
        <v>37</v>
      </c>
      <c r="G46" s="17" t="s">
        <v>105</v>
      </c>
      <c r="H46" s="24" t="s">
        <v>42</v>
      </c>
      <c r="I46" s="24" t="s">
        <v>46</v>
      </c>
      <c r="J46" s="28"/>
      <c r="K46" s="28"/>
    </row>
    <row r="47">
      <c r="A47" s="4">
        <v>46.0</v>
      </c>
      <c r="B47" s="17" t="s">
        <v>60</v>
      </c>
      <c r="C47" s="17"/>
      <c r="D47" s="17" t="s">
        <v>290</v>
      </c>
      <c r="E47" s="17" t="s">
        <v>296</v>
      </c>
      <c r="F47" s="26" t="s">
        <v>37</v>
      </c>
      <c r="G47" s="41" t="s">
        <v>297</v>
      </c>
      <c r="H47" s="24" t="s">
        <v>69</v>
      </c>
      <c r="I47" s="28"/>
      <c r="J47" s="28"/>
      <c r="K47" s="28"/>
    </row>
    <row r="48">
      <c r="A48" s="4">
        <v>47.0</v>
      </c>
      <c r="B48" s="17" t="s">
        <v>165</v>
      </c>
      <c r="C48" s="17"/>
      <c r="D48" s="17" t="s">
        <v>167</v>
      </c>
      <c r="E48" s="17" t="s">
        <v>168</v>
      </c>
      <c r="F48" s="26" t="s">
        <v>37</v>
      </c>
      <c r="G48" s="17" t="s">
        <v>169</v>
      </c>
      <c r="H48" s="24" t="s">
        <v>69</v>
      </c>
      <c r="I48" s="24" t="s">
        <v>46</v>
      </c>
      <c r="J48" s="28"/>
      <c r="K48" s="28"/>
    </row>
    <row r="49">
      <c r="A49" s="4">
        <v>48.0</v>
      </c>
      <c r="B49" s="17" t="s">
        <v>66</v>
      </c>
      <c r="C49" s="17"/>
      <c r="D49" s="17" t="s">
        <v>308</v>
      </c>
      <c r="E49" s="17" t="s">
        <v>280</v>
      </c>
      <c r="F49" s="26" t="s">
        <v>37</v>
      </c>
      <c r="G49" s="41" t="s">
        <v>309</v>
      </c>
      <c r="H49" s="24" t="s">
        <v>69</v>
      </c>
      <c r="I49" s="28"/>
      <c r="J49" s="28"/>
      <c r="K49" s="28"/>
    </row>
    <row r="50">
      <c r="A50" s="4">
        <v>49.0</v>
      </c>
      <c r="B50" s="6" t="s">
        <v>316</v>
      </c>
      <c r="C50" s="32" t="s">
        <v>80</v>
      </c>
      <c r="D50" s="17" t="s">
        <v>20</v>
      </c>
      <c r="E50" s="17" t="s">
        <v>287</v>
      </c>
      <c r="F50" s="26" t="s">
        <v>37</v>
      </c>
      <c r="G50" s="19" t="s">
        <v>288</v>
      </c>
      <c r="H50" s="24" t="s">
        <v>69</v>
      </c>
      <c r="I50" s="24" t="s">
        <v>46</v>
      </c>
      <c r="J50" s="28"/>
      <c r="K50" s="28"/>
    </row>
    <row r="51">
      <c r="A51" s="4">
        <v>50.0</v>
      </c>
      <c r="B51" s="66" t="s">
        <v>70</v>
      </c>
      <c r="C51" s="69" t="s">
        <v>68</v>
      </c>
      <c r="D51" s="26" t="s">
        <v>167</v>
      </c>
      <c r="E51" s="26" t="s">
        <v>168</v>
      </c>
      <c r="F51" s="26" t="s">
        <v>37</v>
      </c>
      <c r="G51" s="34" t="s">
        <v>328</v>
      </c>
      <c r="H51" s="24" t="s">
        <v>69</v>
      </c>
      <c r="I51" s="24" t="s">
        <v>46</v>
      </c>
      <c r="J51" s="28"/>
      <c r="K51" s="28"/>
    </row>
    <row r="52">
      <c r="A52" s="4">
        <v>51.0</v>
      </c>
      <c r="B52" s="72" t="s">
        <v>22</v>
      </c>
      <c r="C52" s="69" t="s">
        <v>19</v>
      </c>
      <c r="D52" s="73" t="s">
        <v>167</v>
      </c>
      <c r="E52" s="73" t="s">
        <v>168</v>
      </c>
      <c r="F52" s="26" t="s">
        <v>37</v>
      </c>
      <c r="G52" s="34" t="s">
        <v>329</v>
      </c>
      <c r="H52" s="24" t="s">
        <v>69</v>
      </c>
      <c r="I52" s="24" t="s">
        <v>46</v>
      </c>
      <c r="J52" s="28"/>
      <c r="K52" s="28"/>
    </row>
    <row r="53">
      <c r="A53" s="4">
        <v>52.0</v>
      </c>
      <c r="B53" s="79" t="s">
        <v>74</v>
      </c>
      <c r="C53" s="69" t="s">
        <v>19</v>
      </c>
      <c r="D53" s="73" t="s">
        <v>167</v>
      </c>
      <c r="E53" s="73" t="s">
        <v>168</v>
      </c>
      <c r="F53" s="26" t="s">
        <v>37</v>
      </c>
      <c r="G53" s="34" t="s">
        <v>335</v>
      </c>
      <c r="H53" s="24" t="s">
        <v>69</v>
      </c>
      <c r="I53" s="24" t="s">
        <v>46</v>
      </c>
      <c r="J53" s="28"/>
      <c r="K53" s="28"/>
    </row>
    <row r="54">
      <c r="A54" s="4">
        <v>53.0</v>
      </c>
      <c r="B54" s="79" t="s">
        <v>75</v>
      </c>
      <c r="C54" s="69" t="s">
        <v>19</v>
      </c>
      <c r="D54" s="73" t="s">
        <v>167</v>
      </c>
      <c r="E54" s="73" t="s">
        <v>168</v>
      </c>
      <c r="F54" s="26" t="s">
        <v>37</v>
      </c>
      <c r="G54" s="34" t="s">
        <v>335</v>
      </c>
      <c r="H54" s="24" t="s">
        <v>69</v>
      </c>
      <c r="I54" s="24" t="s">
        <v>46</v>
      </c>
      <c r="J54" s="28"/>
      <c r="K54" s="28"/>
    </row>
    <row r="55">
      <c r="A55" s="4">
        <v>54.0</v>
      </c>
      <c r="B55" s="79" t="s">
        <v>77</v>
      </c>
      <c r="C55" s="69" t="s">
        <v>19</v>
      </c>
      <c r="D55" s="73" t="s">
        <v>167</v>
      </c>
      <c r="E55" s="73" t="s">
        <v>168</v>
      </c>
      <c r="F55" s="26" t="s">
        <v>37</v>
      </c>
      <c r="G55" s="34" t="s">
        <v>335</v>
      </c>
      <c r="H55" s="24" t="s">
        <v>69</v>
      </c>
      <c r="I55" s="24" t="s">
        <v>46</v>
      </c>
      <c r="J55" s="28"/>
      <c r="K55" s="28"/>
    </row>
    <row r="56">
      <c r="A56" s="4">
        <v>55.0</v>
      </c>
      <c r="B56" s="79" t="s">
        <v>79</v>
      </c>
      <c r="C56" s="69" t="s">
        <v>68</v>
      </c>
      <c r="D56" s="26" t="s">
        <v>63</v>
      </c>
      <c r="E56" s="24" t="s">
        <v>129</v>
      </c>
      <c r="F56" s="26" t="s">
        <v>37</v>
      </c>
      <c r="G56" s="81">
        <v>46247.0</v>
      </c>
      <c r="H56" s="24" t="s">
        <v>69</v>
      </c>
      <c r="I56" s="24" t="s">
        <v>46</v>
      </c>
      <c r="J56" s="28"/>
      <c r="K56" s="28"/>
    </row>
    <row r="57">
      <c r="A57" s="4">
        <v>56.0</v>
      </c>
      <c r="B57" s="26" t="s">
        <v>342</v>
      </c>
      <c r="C57" s="10" t="s">
        <v>32</v>
      </c>
      <c r="D57" s="26" t="s">
        <v>72</v>
      </c>
      <c r="E57" s="26" t="s">
        <v>126</v>
      </c>
      <c r="F57" s="26" t="s">
        <v>37</v>
      </c>
      <c r="G57" s="26" t="s">
        <v>343</v>
      </c>
      <c r="H57" s="24" t="s">
        <v>42</v>
      </c>
      <c r="I57" s="28"/>
      <c r="J57" s="28"/>
      <c r="K57" s="28"/>
      <c r="L57" s="30">
        <v>1.2020223140155E13</v>
      </c>
    </row>
    <row r="58">
      <c r="A58" s="4">
        <v>57.0</v>
      </c>
      <c r="B58" s="26" t="s">
        <v>344</v>
      </c>
      <c r="C58" s="10" t="s">
        <v>32</v>
      </c>
      <c r="D58" s="26" t="s">
        <v>72</v>
      </c>
      <c r="E58" s="26" t="s">
        <v>126</v>
      </c>
      <c r="F58" s="26" t="s">
        <v>37</v>
      </c>
      <c r="G58" s="26" t="s">
        <v>343</v>
      </c>
      <c r="H58" s="24" t="s">
        <v>42</v>
      </c>
      <c r="I58" s="28"/>
      <c r="J58" s="28"/>
      <c r="K58" s="28"/>
      <c r="L58" s="30">
        <v>1.2020223120001E13</v>
      </c>
    </row>
    <row r="59">
      <c r="A59" s="4">
        <v>58.0</v>
      </c>
      <c r="B59" s="26" t="s">
        <v>349</v>
      </c>
      <c r="C59" s="10" t="s">
        <v>32</v>
      </c>
      <c r="D59" s="26" t="s">
        <v>72</v>
      </c>
      <c r="E59" s="26" t="s">
        <v>126</v>
      </c>
      <c r="F59" s="26" t="s">
        <v>37</v>
      </c>
      <c r="G59" s="26" t="s">
        <v>343</v>
      </c>
      <c r="H59" s="24" t="s">
        <v>42</v>
      </c>
      <c r="I59" s="28"/>
      <c r="J59" s="28"/>
      <c r="K59" s="28"/>
      <c r="L59" s="30">
        <v>1.2020223140137E13</v>
      </c>
    </row>
    <row r="60">
      <c r="A60" s="4">
        <v>59.0</v>
      </c>
      <c r="B60" s="26" t="s">
        <v>81</v>
      </c>
      <c r="C60" s="26" t="s">
        <v>68</v>
      </c>
      <c r="D60" s="26" t="s">
        <v>20</v>
      </c>
      <c r="E60" s="26" t="s">
        <v>168</v>
      </c>
      <c r="F60" s="26" t="s">
        <v>37</v>
      </c>
      <c r="G60" s="26" t="s">
        <v>353</v>
      </c>
      <c r="H60" s="24" t="s">
        <v>69</v>
      </c>
      <c r="I60" s="28"/>
      <c r="J60" s="28"/>
      <c r="K60" s="28"/>
    </row>
    <row r="61">
      <c r="A61" s="4">
        <v>60.0</v>
      </c>
      <c r="B61" s="17" t="s">
        <v>84</v>
      </c>
      <c r="C61" s="26" t="s">
        <v>19</v>
      </c>
      <c r="D61" s="17" t="s">
        <v>310</v>
      </c>
      <c r="E61" s="26" t="s">
        <v>311</v>
      </c>
      <c r="F61" s="26" t="s">
        <v>37</v>
      </c>
      <c r="G61" s="26" t="s">
        <v>357</v>
      </c>
      <c r="H61" s="24" t="s">
        <v>69</v>
      </c>
      <c r="I61" s="28"/>
      <c r="J61" s="28"/>
      <c r="K61" s="28"/>
    </row>
    <row r="62">
      <c r="A62" s="4">
        <v>61.0</v>
      </c>
      <c r="B62" s="17" t="s">
        <v>88</v>
      </c>
      <c r="C62" s="26" t="s">
        <v>19</v>
      </c>
      <c r="D62" s="26" t="s">
        <v>114</v>
      </c>
      <c r="E62" s="26" t="s">
        <v>280</v>
      </c>
      <c r="F62" s="26" t="s">
        <v>37</v>
      </c>
      <c r="G62" s="26" t="s">
        <v>358</v>
      </c>
      <c r="H62" s="24" t="s">
        <v>69</v>
      </c>
      <c r="I62" s="28"/>
      <c r="J62" s="28"/>
      <c r="K62" s="28"/>
    </row>
    <row r="63">
      <c r="A63" s="4">
        <v>62.0</v>
      </c>
      <c r="B63" s="86" t="s">
        <v>90</v>
      </c>
      <c r="C63" s="26" t="s">
        <v>19</v>
      </c>
      <c r="D63" s="26" t="s">
        <v>72</v>
      </c>
      <c r="E63" s="26" t="s">
        <v>330</v>
      </c>
      <c r="F63" s="26" t="s">
        <v>37</v>
      </c>
      <c r="G63" s="87" t="s">
        <v>332</v>
      </c>
      <c r="H63" s="24" t="s">
        <v>69</v>
      </c>
      <c r="I63" s="28"/>
      <c r="J63" s="28"/>
      <c r="K63" s="28"/>
    </row>
    <row r="64">
      <c r="A64" s="4">
        <v>63.0</v>
      </c>
      <c r="B64" s="86" t="s">
        <v>92</v>
      </c>
      <c r="C64" s="26" t="s">
        <v>19</v>
      </c>
      <c r="D64" s="26" t="s">
        <v>72</v>
      </c>
      <c r="E64" s="26" t="s">
        <v>330</v>
      </c>
      <c r="F64" s="26" t="s">
        <v>37</v>
      </c>
      <c r="G64" s="87" t="s">
        <v>368</v>
      </c>
      <c r="H64" s="28"/>
      <c r="I64" s="28"/>
      <c r="J64" s="28"/>
      <c r="K64" s="28"/>
    </row>
    <row r="65">
      <c r="A65" s="4">
        <v>64.0</v>
      </c>
      <c r="B65" s="72" t="s">
        <v>356</v>
      </c>
      <c r="C65" s="89" t="s">
        <v>370</v>
      </c>
      <c r="D65" s="26" t="s">
        <v>72</v>
      </c>
      <c r="E65" s="26" t="s">
        <v>55</v>
      </c>
      <c r="F65" s="26" t="s">
        <v>37</v>
      </c>
      <c r="G65" s="91"/>
      <c r="H65" s="28"/>
      <c r="I65" s="28"/>
      <c r="J65" s="28"/>
      <c r="K65" s="28"/>
    </row>
    <row r="66">
      <c r="A66" s="4">
        <v>65.0</v>
      </c>
      <c r="B66" s="26"/>
      <c r="C66" s="89"/>
      <c r="D66" s="26"/>
      <c r="E66" s="26"/>
      <c r="F66" s="17"/>
      <c r="G66" s="17"/>
      <c r="H66" s="28"/>
      <c r="I66" s="28"/>
      <c r="J66" s="28"/>
      <c r="K66" s="28"/>
    </row>
    <row r="67">
      <c r="A67" s="4">
        <v>66.0</v>
      </c>
      <c r="B67" s="17"/>
      <c r="C67" s="17"/>
      <c r="D67" s="17"/>
      <c r="E67" s="17"/>
      <c r="F67" s="17"/>
      <c r="G67" s="17"/>
      <c r="H67" s="28"/>
      <c r="I67" s="28"/>
      <c r="J67" s="28"/>
      <c r="K67" s="28"/>
    </row>
    <row r="68">
      <c r="A68" s="4">
        <v>67.0</v>
      </c>
      <c r="B68" s="17"/>
      <c r="C68" s="17"/>
      <c r="D68" s="17"/>
      <c r="E68" s="17"/>
      <c r="F68" s="17"/>
      <c r="G68" s="17"/>
      <c r="H68" s="28"/>
      <c r="I68" s="28"/>
      <c r="J68" s="28"/>
      <c r="K68" s="28"/>
    </row>
    <row r="69">
      <c r="A69" s="4">
        <v>68.0</v>
      </c>
      <c r="B69" s="17"/>
      <c r="C69" s="17"/>
      <c r="D69" s="17"/>
      <c r="E69" s="17"/>
      <c r="F69" s="17"/>
      <c r="G69" s="17"/>
      <c r="H69" s="28"/>
      <c r="I69" s="28"/>
      <c r="J69" s="28"/>
      <c r="K69" s="28"/>
    </row>
    <row r="70">
      <c r="A70" s="4">
        <v>69.0</v>
      </c>
      <c r="B70" s="17"/>
      <c r="C70" s="17"/>
      <c r="D70" s="17"/>
      <c r="E70" s="17"/>
      <c r="F70" s="17"/>
      <c r="G70" s="17"/>
      <c r="H70" s="28"/>
      <c r="I70" s="28"/>
      <c r="J70" s="28"/>
      <c r="K70" s="28"/>
    </row>
    <row r="71">
      <c r="A71" s="4">
        <v>70.0</v>
      </c>
      <c r="B71" s="17"/>
      <c r="C71" s="17"/>
      <c r="D71" s="17"/>
      <c r="E71" s="17"/>
      <c r="F71" s="17"/>
      <c r="G71" s="17"/>
      <c r="H71" s="28"/>
      <c r="I71" s="28"/>
      <c r="J71" s="28"/>
      <c r="K71" s="28"/>
    </row>
    <row r="72">
      <c r="A72" s="4">
        <v>71.0</v>
      </c>
      <c r="B72" s="17"/>
      <c r="C72" s="17"/>
      <c r="D72" s="17"/>
      <c r="E72" s="17"/>
      <c r="F72" s="17"/>
      <c r="G72" s="17"/>
      <c r="H72" s="28"/>
      <c r="I72" s="28"/>
      <c r="J72" s="28"/>
      <c r="K72" s="28"/>
    </row>
    <row r="73">
      <c r="A73" s="28"/>
      <c r="B73" s="17"/>
      <c r="C73" s="17"/>
      <c r="D73" s="17"/>
      <c r="E73" s="17"/>
      <c r="F73" s="17"/>
      <c r="G73" s="17"/>
      <c r="H73" s="28"/>
      <c r="I73" s="28"/>
      <c r="J73" s="28"/>
      <c r="K73" s="28"/>
    </row>
    <row r="74">
      <c r="A74" s="28"/>
      <c r="B74" s="17"/>
      <c r="C74" s="17"/>
      <c r="D74" s="17"/>
      <c r="E74" s="17"/>
      <c r="F74" s="17"/>
      <c r="G74" s="17"/>
      <c r="H74" s="28"/>
      <c r="I74" s="28"/>
      <c r="J74" s="28"/>
      <c r="K74" s="28"/>
    </row>
    <row r="75">
      <c r="A75" s="28"/>
      <c r="B75" s="17"/>
      <c r="C75" s="17"/>
      <c r="D75" s="17"/>
      <c r="E75" s="17"/>
      <c r="F75" s="17"/>
      <c r="G75" s="17"/>
      <c r="H75" s="28"/>
      <c r="I75" s="28"/>
      <c r="J75" s="28"/>
      <c r="K75" s="28"/>
    </row>
    <row r="76">
      <c r="A76" s="28"/>
      <c r="B76" s="17"/>
      <c r="C76" s="17"/>
      <c r="D76" s="17"/>
      <c r="E76" s="17"/>
      <c r="F76" s="17"/>
      <c r="G76" s="17"/>
      <c r="H76" s="28"/>
      <c r="I76" s="28"/>
      <c r="J76" s="28"/>
      <c r="K76" s="28"/>
    </row>
    <row r="77">
      <c r="A77" s="28"/>
      <c r="B77" s="17"/>
      <c r="C77" s="17"/>
      <c r="D77" s="17"/>
      <c r="E77" s="17"/>
      <c r="F77" s="17"/>
      <c r="G77" s="17"/>
      <c r="H77" s="28"/>
      <c r="I77" s="28"/>
      <c r="J77" s="28"/>
      <c r="K77" s="28"/>
    </row>
    <row r="78">
      <c r="A78" s="28"/>
      <c r="B78" s="17"/>
      <c r="C78" s="17"/>
      <c r="D78" s="17"/>
      <c r="E78" s="17"/>
      <c r="F78" s="17"/>
      <c r="G78" s="17"/>
      <c r="H78" s="28"/>
      <c r="I78" s="28"/>
      <c r="J78" s="28"/>
      <c r="K78" s="28"/>
    </row>
    <row r="79">
      <c r="A79" s="28"/>
      <c r="B79" s="17"/>
      <c r="C79" s="17"/>
      <c r="D79" s="17"/>
      <c r="E79" s="17"/>
      <c r="F79" s="17"/>
      <c r="G79" s="17"/>
      <c r="H79" s="28"/>
      <c r="I79" s="28"/>
      <c r="J79" s="28"/>
      <c r="K79" s="28"/>
    </row>
    <row r="80">
      <c r="A80" s="28"/>
      <c r="B80" s="17"/>
      <c r="C80" s="17"/>
      <c r="D80" s="17"/>
      <c r="E80" s="17"/>
      <c r="F80" s="17"/>
      <c r="G80" s="17"/>
      <c r="H80" s="28"/>
      <c r="I80" s="28"/>
      <c r="J80" s="28"/>
      <c r="K80" s="28"/>
    </row>
    <row r="81">
      <c r="A81" s="28"/>
      <c r="B81" s="17"/>
      <c r="C81" s="17"/>
      <c r="D81" s="17"/>
      <c r="E81" s="17"/>
      <c r="F81" s="17"/>
      <c r="G81" s="17"/>
      <c r="H81" s="28"/>
      <c r="I81" s="28"/>
      <c r="J81" s="28"/>
      <c r="K81" s="28"/>
    </row>
    <row r="82">
      <c r="A82" s="28"/>
      <c r="B82" s="17"/>
      <c r="C82" s="17"/>
      <c r="D82" s="17"/>
      <c r="E82" s="17"/>
      <c r="F82" s="17"/>
      <c r="G82" s="17"/>
      <c r="H82" s="28"/>
      <c r="I82" s="28"/>
      <c r="J82" s="28"/>
      <c r="K82" s="28"/>
    </row>
    <row r="83">
      <c r="A83" s="28"/>
      <c r="B83" s="17"/>
      <c r="C83" s="17"/>
      <c r="D83" s="17"/>
      <c r="E83" s="17"/>
      <c r="F83" s="17"/>
      <c r="G83" s="17"/>
      <c r="H83" s="28"/>
      <c r="I83" s="28"/>
      <c r="J83" s="28"/>
      <c r="K83" s="28"/>
    </row>
    <row r="84">
      <c r="A84" s="28"/>
      <c r="B84" s="17"/>
      <c r="C84" s="17"/>
      <c r="D84" s="17"/>
      <c r="E84" s="17"/>
      <c r="F84" s="17"/>
      <c r="G84" s="17"/>
      <c r="H84" s="28"/>
      <c r="I84" s="28"/>
      <c r="J84" s="28"/>
      <c r="K84" s="28"/>
    </row>
    <row r="85">
      <c r="A85" s="28"/>
      <c r="B85" s="17"/>
      <c r="C85" s="17"/>
      <c r="D85" s="17"/>
      <c r="E85" s="17"/>
      <c r="F85" s="17"/>
      <c r="G85" s="17"/>
      <c r="H85" s="28"/>
      <c r="I85" s="28"/>
      <c r="J85" s="28"/>
      <c r="K85" s="28"/>
    </row>
    <row r="86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</row>
    <row r="87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</row>
    <row r="88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</row>
    <row r="89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</row>
    <row r="90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</row>
    <row r="9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</row>
    <row r="92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</row>
    <row r="93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</row>
    <row r="94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</row>
    <row r="95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</row>
    <row r="96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</row>
    <row r="97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</row>
    <row r="98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</row>
    <row r="99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</row>
    <row r="100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</row>
    <row r="10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</row>
    <row r="102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</row>
    <row r="103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</row>
    <row r="104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</row>
  </sheetData>
  <dataValidations>
    <dataValidation type="list" allowBlank="1" showErrorMessage="1" sqref="F2:F104">
      <formula1>"Central Java,East Java,West Java"</formula1>
    </dataValidation>
    <dataValidation type="list" allowBlank="1" showErrorMessage="1" sqref="H2:H104">
      <formula1>"Aktive,Completed"</formula1>
    </dataValidation>
    <dataValidation type="list" allowBlank="1" showErrorMessage="1" sqref="I2:I104">
      <formula1>"Belum Diproses,Sedang Diproses,Sudah Dikirim"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28.38"/>
    <col customWidth="1" min="3" max="3" width="14.75"/>
    <col customWidth="1" min="5" max="5" width="4.88"/>
    <col customWidth="1" min="6" max="6" width="19.5"/>
    <col customWidth="1" min="7" max="7" width="16.25"/>
  </cols>
  <sheetData>
    <row r="2">
      <c r="A2" s="3" t="s">
        <v>0</v>
      </c>
      <c r="B2" s="5" t="s">
        <v>1</v>
      </c>
      <c r="C2" s="8" t="s">
        <v>2</v>
      </c>
      <c r="E2" s="13" t="s">
        <v>0</v>
      </c>
      <c r="F2" s="13" t="s">
        <v>1</v>
      </c>
      <c r="G2" s="13" t="s">
        <v>17</v>
      </c>
    </row>
    <row r="3">
      <c r="A3" s="15">
        <v>1.0</v>
      </c>
      <c r="B3" s="18" t="s">
        <v>21</v>
      </c>
      <c r="C3" s="20" t="s">
        <v>19</v>
      </c>
      <c r="E3" s="22">
        <v>1.0</v>
      </c>
      <c r="F3" s="24" t="s">
        <v>28</v>
      </c>
      <c r="G3" s="24" t="s">
        <v>30</v>
      </c>
    </row>
    <row r="4">
      <c r="A4" s="25">
        <v>2.0</v>
      </c>
      <c r="B4" s="18" t="s">
        <v>31</v>
      </c>
      <c r="C4" s="20" t="s">
        <v>32</v>
      </c>
      <c r="E4" s="22">
        <v>2.0</v>
      </c>
      <c r="F4" s="24" t="s">
        <v>33</v>
      </c>
      <c r="G4" s="24" t="s">
        <v>34</v>
      </c>
    </row>
    <row r="5">
      <c r="A5" s="15">
        <v>3.0</v>
      </c>
      <c r="B5" s="17" t="s">
        <v>36</v>
      </c>
      <c r="C5" s="20" t="s">
        <v>32</v>
      </c>
      <c r="E5" s="22">
        <v>3.0</v>
      </c>
      <c r="F5" s="24" t="s">
        <v>38</v>
      </c>
      <c r="G5" s="24" t="s">
        <v>40</v>
      </c>
    </row>
    <row r="6">
      <c r="A6" s="25">
        <v>4.0</v>
      </c>
      <c r="B6" s="27" t="s">
        <v>41</v>
      </c>
      <c r="C6" s="20" t="s">
        <v>19</v>
      </c>
      <c r="E6" s="22">
        <v>4.0</v>
      </c>
      <c r="F6" s="24" t="s">
        <v>44</v>
      </c>
      <c r="G6" s="24" t="s">
        <v>45</v>
      </c>
    </row>
    <row r="7">
      <c r="A7" s="15">
        <v>5.0</v>
      </c>
      <c r="B7" s="17" t="s">
        <v>48</v>
      </c>
      <c r="C7" s="20" t="s">
        <v>19</v>
      </c>
      <c r="E7" s="22">
        <v>5.0</v>
      </c>
      <c r="F7" s="24" t="s">
        <v>49</v>
      </c>
      <c r="G7" s="24" t="s">
        <v>50</v>
      </c>
    </row>
    <row r="8">
      <c r="A8" s="25">
        <v>6.0</v>
      </c>
      <c r="B8" s="18" t="s">
        <v>52</v>
      </c>
      <c r="C8" s="20" t="s">
        <v>32</v>
      </c>
      <c r="E8" s="30"/>
    </row>
    <row r="9">
      <c r="A9" s="15">
        <v>7.0</v>
      </c>
      <c r="B9" s="17" t="s">
        <v>57</v>
      </c>
      <c r="C9" s="20" t="s">
        <v>58</v>
      </c>
      <c r="E9" s="30"/>
    </row>
    <row r="10">
      <c r="A10" s="25">
        <v>8.0</v>
      </c>
      <c r="B10" s="17" t="s">
        <v>60</v>
      </c>
      <c r="C10" s="20" t="s">
        <v>58</v>
      </c>
      <c r="E10" s="30" t="s">
        <v>64</v>
      </c>
    </row>
    <row r="11">
      <c r="A11" s="15">
        <v>9.0</v>
      </c>
      <c r="B11" s="17" t="s">
        <v>66</v>
      </c>
      <c r="C11" s="20" t="s">
        <v>68</v>
      </c>
      <c r="E11" s="30"/>
    </row>
    <row r="12">
      <c r="A12" s="25">
        <v>10.0</v>
      </c>
      <c r="B12" s="18" t="s">
        <v>70</v>
      </c>
      <c r="C12" s="20" t="s">
        <v>68</v>
      </c>
    </row>
    <row r="13">
      <c r="A13" s="15">
        <v>11.0</v>
      </c>
      <c r="B13" s="18" t="s">
        <v>22</v>
      </c>
      <c r="C13" s="20" t="s">
        <v>19</v>
      </c>
    </row>
    <row r="14">
      <c r="A14" s="25">
        <v>12.0</v>
      </c>
      <c r="B14" s="18" t="s">
        <v>74</v>
      </c>
      <c r="C14" s="20" t="s">
        <v>19</v>
      </c>
    </row>
    <row r="15">
      <c r="A15" s="15">
        <v>13.0</v>
      </c>
      <c r="B15" s="18" t="s">
        <v>75</v>
      </c>
      <c r="C15" s="20" t="s">
        <v>19</v>
      </c>
    </row>
    <row r="16">
      <c r="A16" s="25">
        <v>14.0</v>
      </c>
      <c r="B16" s="18" t="s">
        <v>77</v>
      </c>
      <c r="C16" s="20" t="s">
        <v>19</v>
      </c>
    </row>
    <row r="17">
      <c r="A17" s="15">
        <v>15.0</v>
      </c>
      <c r="B17" s="18" t="s">
        <v>79</v>
      </c>
      <c r="C17" s="20" t="s">
        <v>68</v>
      </c>
    </row>
    <row r="18">
      <c r="A18" s="25">
        <v>16.0</v>
      </c>
      <c r="B18" s="18" t="s">
        <v>81</v>
      </c>
      <c r="C18" s="20" t="s">
        <v>68</v>
      </c>
    </row>
    <row r="19">
      <c r="A19" s="15">
        <v>17.0</v>
      </c>
      <c r="B19" s="6" t="s">
        <v>82</v>
      </c>
      <c r="C19" s="20" t="s">
        <v>32</v>
      </c>
    </row>
    <row r="20">
      <c r="A20" s="25">
        <v>18.0</v>
      </c>
      <c r="B20" s="17" t="s">
        <v>84</v>
      </c>
      <c r="C20" s="20" t="s">
        <v>19</v>
      </c>
    </row>
    <row r="21">
      <c r="A21" s="15">
        <v>19.0</v>
      </c>
      <c r="B21" s="17" t="s">
        <v>88</v>
      </c>
      <c r="C21" s="20" t="s">
        <v>19</v>
      </c>
    </row>
    <row r="22">
      <c r="A22" s="25">
        <v>20.0</v>
      </c>
      <c r="B22" s="6" t="s">
        <v>90</v>
      </c>
      <c r="C22" s="20" t="s">
        <v>19</v>
      </c>
    </row>
    <row r="23">
      <c r="A23" s="15">
        <v>21.0</v>
      </c>
      <c r="B23" s="6" t="s">
        <v>92</v>
      </c>
      <c r="C23" s="20" t="s">
        <v>19</v>
      </c>
    </row>
    <row r="24">
      <c r="A24" s="25">
        <v>22.0</v>
      </c>
      <c r="B24" s="17" t="s">
        <v>93</v>
      </c>
      <c r="C24" s="20" t="s">
        <v>94</v>
      </c>
    </row>
    <row r="25">
      <c r="A25" s="15">
        <v>23.0</v>
      </c>
      <c r="B25" s="10" t="s">
        <v>98</v>
      </c>
      <c r="C25" s="20" t="s">
        <v>68</v>
      </c>
    </row>
    <row r="26">
      <c r="A26" s="25">
        <v>24.0</v>
      </c>
      <c r="B26" s="10"/>
      <c r="C26" s="20"/>
    </row>
    <row r="27">
      <c r="A27" s="35"/>
      <c r="B27" s="36"/>
      <c r="C27" s="37"/>
    </row>
    <row r="28">
      <c r="A28" s="38"/>
      <c r="B28" s="39"/>
      <c r="C28" s="37"/>
    </row>
    <row r="29">
      <c r="A29" s="35"/>
      <c r="B29" s="40"/>
      <c r="C29" s="40"/>
    </row>
    <row r="30">
      <c r="A30" s="38"/>
      <c r="B30" s="40"/>
      <c r="C30" s="40"/>
    </row>
    <row r="31">
      <c r="A31" s="35"/>
      <c r="B31" s="40"/>
      <c r="C31" s="40"/>
    </row>
    <row r="32">
      <c r="A32" s="38"/>
      <c r="B32" s="40"/>
      <c r="C32" s="40"/>
    </row>
    <row r="33">
      <c r="A33" s="35"/>
      <c r="B33" s="40"/>
      <c r="C33" s="40"/>
    </row>
    <row r="34">
      <c r="A34" s="38"/>
      <c r="B34" s="40"/>
      <c r="C34" s="40"/>
    </row>
    <row r="35">
      <c r="A35" s="35"/>
      <c r="B35" s="40"/>
      <c r="C35" s="40"/>
    </row>
    <row r="36">
      <c r="A36" s="38"/>
      <c r="B36" s="40"/>
      <c r="C36" s="40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75"/>
    <col customWidth="1" min="3" max="3" width="14.5"/>
    <col customWidth="1" min="4" max="4" width="27.13"/>
    <col customWidth="1" min="5" max="5" width="33.63"/>
    <col customWidth="1" min="6" max="6" width="24.75"/>
    <col customWidth="1" min="7" max="7" width="17.0"/>
    <col customWidth="1" min="8" max="8" width="16.0"/>
    <col customWidth="1" min="9" max="9" width="16.5"/>
    <col customWidth="1" min="10" max="10" width="14.88"/>
    <col customWidth="1" min="11" max="11" width="40.8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7" t="s">
        <v>0</v>
      </c>
      <c r="B2" s="9" t="s">
        <v>1</v>
      </c>
      <c r="C2" s="11" t="s">
        <v>6</v>
      </c>
      <c r="D2" s="11" t="s">
        <v>9</v>
      </c>
      <c r="E2" s="11" t="s">
        <v>4</v>
      </c>
      <c r="F2" s="11" t="s">
        <v>2</v>
      </c>
      <c r="G2" s="11" t="s">
        <v>10</v>
      </c>
      <c r="H2" s="11" t="s">
        <v>11</v>
      </c>
      <c r="I2" s="11" t="s">
        <v>13</v>
      </c>
      <c r="J2" s="11" t="s">
        <v>15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6">
        <v>1.0</v>
      </c>
      <c r="B3" s="19" t="s">
        <v>22</v>
      </c>
      <c r="C3" s="21" t="s">
        <v>24</v>
      </c>
      <c r="D3" s="19" t="s">
        <v>25</v>
      </c>
      <c r="E3" s="19" t="s">
        <v>26</v>
      </c>
      <c r="F3" s="19" t="s">
        <v>27</v>
      </c>
      <c r="G3" s="23">
        <v>46240.0</v>
      </c>
      <c r="H3" s="19" t="s">
        <v>29</v>
      </c>
      <c r="I3" s="17" t="s">
        <v>35</v>
      </c>
      <c r="J3" s="17" t="s">
        <v>35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6">
        <v>2.0</v>
      </c>
      <c r="B4" s="19" t="s">
        <v>43</v>
      </c>
      <c r="C4" s="21">
        <v>8.95393361946E11</v>
      </c>
      <c r="D4" s="19" t="s">
        <v>25</v>
      </c>
      <c r="E4" s="19" t="s">
        <v>26</v>
      </c>
      <c r="F4" s="19" t="s">
        <v>27</v>
      </c>
      <c r="G4" s="23">
        <v>46240.0</v>
      </c>
      <c r="H4" s="19" t="s">
        <v>47</v>
      </c>
      <c r="I4" s="17" t="s">
        <v>35</v>
      </c>
      <c r="J4" s="17" t="s">
        <v>35</v>
      </c>
      <c r="K4" s="29">
        <v>46246.0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6">
        <v>3.0</v>
      </c>
      <c r="B5" s="19" t="s">
        <v>59</v>
      </c>
      <c r="C5" s="21">
        <f>6281806746602</f>
        <v>6281806746602</v>
      </c>
      <c r="D5" s="19" t="s">
        <v>25</v>
      </c>
      <c r="E5" s="19" t="s">
        <v>26</v>
      </c>
      <c r="F5" s="19" t="s">
        <v>85</v>
      </c>
      <c r="G5" s="23">
        <v>46240.0</v>
      </c>
      <c r="H5" s="19" t="s">
        <v>86</v>
      </c>
      <c r="I5" s="17" t="s">
        <v>35</v>
      </c>
      <c r="J5" s="17" t="s">
        <v>35</v>
      </c>
      <c r="K5" s="1" t="s">
        <v>89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>
      <c r="A6" s="16">
        <v>4.0</v>
      </c>
      <c r="B6" s="19" t="s">
        <v>70</v>
      </c>
      <c r="C6" s="21">
        <v>6.282138103059E12</v>
      </c>
      <c r="D6" s="19" t="s">
        <v>25</v>
      </c>
      <c r="E6" s="19" t="s">
        <v>26</v>
      </c>
      <c r="F6" s="19" t="s">
        <v>96</v>
      </c>
      <c r="G6" s="23">
        <v>46240.0</v>
      </c>
      <c r="H6" s="19" t="s">
        <v>99</v>
      </c>
      <c r="I6" s="17" t="s">
        <v>35</v>
      </c>
      <c r="J6" s="17" t="s">
        <v>35</v>
      </c>
      <c r="K6" s="29">
        <v>46246.0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>
      <c r="A7" s="16">
        <v>5.0</v>
      </c>
      <c r="B7" s="19" t="s">
        <v>77</v>
      </c>
      <c r="C7" s="21" t="s">
        <v>104</v>
      </c>
      <c r="D7" s="19" t="s">
        <v>25</v>
      </c>
      <c r="E7" s="19" t="s">
        <v>26</v>
      </c>
      <c r="F7" s="19" t="s">
        <v>106</v>
      </c>
      <c r="G7" s="23">
        <v>46240.0</v>
      </c>
      <c r="H7" s="19" t="s">
        <v>107</v>
      </c>
      <c r="I7" s="17" t="s">
        <v>35</v>
      </c>
      <c r="J7" s="17" t="s">
        <v>35</v>
      </c>
      <c r="K7" s="29">
        <v>46246.0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>
      <c r="A8" s="16">
        <v>6.0</v>
      </c>
      <c r="B8" s="42" t="s">
        <v>110</v>
      </c>
      <c r="C8" s="43">
        <v>6.287741169858E12</v>
      </c>
      <c r="D8" s="44" t="s">
        <v>114</v>
      </c>
      <c r="E8" s="44" t="s">
        <v>117</v>
      </c>
      <c r="F8" s="44" t="s">
        <v>118</v>
      </c>
      <c r="G8" s="45">
        <v>46240.0</v>
      </c>
      <c r="H8" s="17" t="s">
        <v>120</v>
      </c>
      <c r="I8" s="17" t="s">
        <v>121</v>
      </c>
      <c r="J8" s="17"/>
      <c r="K8" s="1" t="s">
        <v>123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>
      <c r="A9" s="16">
        <v>7.0</v>
      </c>
      <c r="B9" s="19" t="s">
        <v>79</v>
      </c>
      <c r="C9" s="46">
        <v>8.8290348094E10</v>
      </c>
      <c r="D9" s="19" t="s">
        <v>63</v>
      </c>
      <c r="E9" s="19" t="s">
        <v>129</v>
      </c>
      <c r="F9" s="19" t="s">
        <v>118</v>
      </c>
      <c r="G9" s="19" t="s">
        <v>130</v>
      </c>
      <c r="H9" s="19"/>
      <c r="I9" s="17" t="s">
        <v>35</v>
      </c>
      <c r="J9" s="17" t="s">
        <v>35</v>
      </c>
      <c r="K9" s="47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>
      <c r="A10" s="16">
        <v>8.0</v>
      </c>
      <c r="B10" s="42" t="s">
        <v>133</v>
      </c>
      <c r="C10" s="16">
        <v>8.135975369E10</v>
      </c>
      <c r="D10" s="17" t="s">
        <v>25</v>
      </c>
      <c r="E10" s="17" t="s">
        <v>26</v>
      </c>
      <c r="F10" s="18" t="s">
        <v>118</v>
      </c>
      <c r="G10" s="45">
        <v>46240.0</v>
      </c>
      <c r="H10" s="17" t="s">
        <v>136</v>
      </c>
      <c r="I10" s="17" t="s">
        <v>121</v>
      </c>
      <c r="J10" s="17"/>
      <c r="K10" s="1" t="s">
        <v>140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>
      <c r="A11" s="16">
        <v>9.0</v>
      </c>
      <c r="B11" s="42" t="s">
        <v>142</v>
      </c>
      <c r="C11" s="16">
        <v>6.28126772006E11</v>
      </c>
      <c r="D11" s="17" t="s">
        <v>25</v>
      </c>
      <c r="E11" s="17" t="s">
        <v>26</v>
      </c>
      <c r="F11" s="18" t="s">
        <v>145</v>
      </c>
      <c r="G11" s="45">
        <v>46240.0</v>
      </c>
      <c r="H11" s="17" t="s">
        <v>147</v>
      </c>
      <c r="I11" s="17" t="s">
        <v>121</v>
      </c>
      <c r="J11" s="17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>
      <c r="A12" s="5">
        <v>10.0</v>
      </c>
      <c r="B12" s="17" t="s">
        <v>150</v>
      </c>
      <c r="C12" s="16">
        <f>6281215768256</f>
        <v>6281215768256</v>
      </c>
      <c r="D12" s="17" t="s">
        <v>25</v>
      </c>
      <c r="E12" s="17" t="s">
        <v>26</v>
      </c>
      <c r="F12" s="17"/>
      <c r="G12" s="17"/>
      <c r="H12" s="17"/>
      <c r="I12" s="17"/>
      <c r="J12" s="17"/>
      <c r="K12" s="1" t="s">
        <v>156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>
      <c r="A13" s="16">
        <v>11.0</v>
      </c>
      <c r="B13" s="17" t="s">
        <v>157</v>
      </c>
      <c r="C13" s="16">
        <f>6285600547876</f>
        <v>6285600547876</v>
      </c>
      <c r="D13" s="17" t="s">
        <v>25</v>
      </c>
      <c r="E13" s="17" t="s">
        <v>161</v>
      </c>
      <c r="F13" s="17"/>
      <c r="G13" s="17"/>
      <c r="H13" s="17"/>
      <c r="I13" s="17"/>
      <c r="J13" s="17"/>
      <c r="K13" s="1" t="s">
        <v>156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>
      <c r="A14" s="16">
        <v>12.0</v>
      </c>
      <c r="B14" s="17" t="s">
        <v>164</v>
      </c>
      <c r="C14" s="16">
        <f>6281392363238</f>
        <v>6281392363238</v>
      </c>
      <c r="D14" s="17" t="s">
        <v>25</v>
      </c>
      <c r="E14" s="17" t="s">
        <v>170</v>
      </c>
      <c r="F14" s="17" t="s">
        <v>171</v>
      </c>
      <c r="G14" s="45">
        <v>46241.0</v>
      </c>
      <c r="H14" s="17" t="s">
        <v>173</v>
      </c>
      <c r="I14" s="17" t="s">
        <v>121</v>
      </c>
      <c r="J14" s="17"/>
      <c r="K14" s="1" t="s">
        <v>175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>
      <c r="A15" s="16">
        <v>13.0</v>
      </c>
      <c r="B15" s="17" t="s">
        <v>178</v>
      </c>
      <c r="C15" s="16">
        <f>6281382628495</f>
        <v>6281382628495</v>
      </c>
      <c r="D15" s="17" t="s">
        <v>72</v>
      </c>
      <c r="E15" s="17" t="s">
        <v>180</v>
      </c>
      <c r="F15" s="17" t="s">
        <v>181</v>
      </c>
      <c r="G15" s="17"/>
      <c r="H15" s="17"/>
      <c r="I15" s="17"/>
      <c r="J15" s="17"/>
      <c r="K15" s="1" t="s">
        <v>182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>
      <c r="A16" s="16">
        <v>14.0</v>
      </c>
      <c r="B16" s="17" t="s">
        <v>183</v>
      </c>
      <c r="C16" s="16">
        <f>6287700071269</f>
        <v>6287700071269</v>
      </c>
      <c r="D16" s="17" t="s">
        <v>25</v>
      </c>
      <c r="E16" s="17" t="s">
        <v>55</v>
      </c>
      <c r="F16" s="17" t="s">
        <v>185</v>
      </c>
      <c r="G16" s="49">
        <v>46242.0</v>
      </c>
      <c r="H16" s="17" t="s">
        <v>187</v>
      </c>
      <c r="I16" s="17" t="s">
        <v>121</v>
      </c>
      <c r="J16" s="17"/>
      <c r="K16" s="1" t="s">
        <v>192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>
      <c r="A17" s="16">
        <v>15.0</v>
      </c>
      <c r="B17" s="17" t="s">
        <v>193</v>
      </c>
      <c r="C17" s="16">
        <f>85814109533</f>
        <v>85814109533</v>
      </c>
      <c r="D17" s="17" t="s">
        <v>25</v>
      </c>
      <c r="E17" s="17" t="s">
        <v>55</v>
      </c>
      <c r="F17" s="17" t="s">
        <v>185</v>
      </c>
      <c r="G17" s="49">
        <v>46242.0</v>
      </c>
      <c r="H17" s="17" t="s">
        <v>196</v>
      </c>
      <c r="I17" s="17" t="s">
        <v>121</v>
      </c>
      <c r="J17" s="17"/>
      <c r="K17" s="1" t="s">
        <v>201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>
      <c r="A18" s="16">
        <v>16.0</v>
      </c>
      <c r="B18" s="17" t="s">
        <v>202</v>
      </c>
      <c r="C18" s="16">
        <f>83808267888</f>
        <v>83808267888</v>
      </c>
      <c r="D18" s="17" t="s">
        <v>25</v>
      </c>
      <c r="E18" s="17" t="s">
        <v>55</v>
      </c>
      <c r="F18" s="17" t="s">
        <v>185</v>
      </c>
      <c r="G18" s="49">
        <v>46242.0</v>
      </c>
      <c r="H18" s="17" t="s">
        <v>205</v>
      </c>
      <c r="I18" s="17" t="s">
        <v>121</v>
      </c>
      <c r="J18" s="17"/>
      <c r="K18" s="1" t="s">
        <v>207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>
      <c r="A19" s="16">
        <v>17.0</v>
      </c>
      <c r="B19" s="19" t="s">
        <v>210</v>
      </c>
      <c r="C19" s="16">
        <f>888902826679</f>
        <v>888902826679</v>
      </c>
      <c r="D19" s="17" t="s">
        <v>25</v>
      </c>
      <c r="E19" s="17" t="s">
        <v>55</v>
      </c>
      <c r="F19" s="17" t="s">
        <v>212</v>
      </c>
      <c r="G19" s="17"/>
      <c r="H19" s="17"/>
      <c r="I19" s="17"/>
      <c r="J19" s="17"/>
      <c r="K19" s="1" t="s">
        <v>213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>
      <c r="A20" s="16">
        <v>18.0</v>
      </c>
      <c r="B20" s="17" t="s">
        <v>215</v>
      </c>
      <c r="C20" s="50">
        <v>6.287721161214E12</v>
      </c>
      <c r="D20" s="17" t="s">
        <v>25</v>
      </c>
      <c r="E20" s="17" t="s">
        <v>161</v>
      </c>
      <c r="F20" s="17" t="s">
        <v>217</v>
      </c>
      <c r="G20" s="17"/>
      <c r="H20" s="17"/>
      <c r="I20" s="17"/>
      <c r="J20" s="17"/>
      <c r="K20" s="1" t="s">
        <v>218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>
      <c r="A21" s="16">
        <v>19.0</v>
      </c>
      <c r="B21" s="17" t="s">
        <v>221</v>
      </c>
      <c r="C21" s="16">
        <v>6.285326806252E12</v>
      </c>
      <c r="D21" s="17" t="s">
        <v>20</v>
      </c>
      <c r="E21" s="17" t="s">
        <v>55</v>
      </c>
      <c r="F21" s="17" t="s">
        <v>223</v>
      </c>
      <c r="G21" s="45">
        <v>46241.0</v>
      </c>
      <c r="H21" s="17" t="s">
        <v>29</v>
      </c>
      <c r="I21" s="17" t="s">
        <v>121</v>
      </c>
      <c r="J21" s="17"/>
      <c r="K21" s="1" t="s">
        <v>225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>
      <c r="A22" s="16">
        <v>20.0</v>
      </c>
      <c r="B22" s="17" t="s">
        <v>227</v>
      </c>
      <c r="C22" s="50">
        <f>+6281225411037</f>
        <v>6281225411037</v>
      </c>
      <c r="D22" s="17" t="s">
        <v>229</v>
      </c>
      <c r="E22" s="17" t="s">
        <v>55</v>
      </c>
      <c r="F22" s="17" t="s">
        <v>230</v>
      </c>
      <c r="G22" s="51">
        <v>46241.0</v>
      </c>
      <c r="H22" s="17" t="s">
        <v>99</v>
      </c>
      <c r="I22" s="17" t="s">
        <v>121</v>
      </c>
      <c r="J22" s="17"/>
      <c r="K22" s="1" t="s">
        <v>231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>
      <c r="A23" s="16">
        <v>21.0</v>
      </c>
      <c r="B23" s="17" t="s">
        <v>235</v>
      </c>
      <c r="C23" s="50">
        <f>+6287833574361</f>
        <v>6287833574361</v>
      </c>
      <c r="D23" s="17" t="s">
        <v>20</v>
      </c>
      <c r="E23" s="17" t="s">
        <v>55</v>
      </c>
      <c r="F23" s="17" t="s">
        <v>230</v>
      </c>
      <c r="G23" s="51">
        <v>46241.0</v>
      </c>
      <c r="H23" s="17" t="s">
        <v>242</v>
      </c>
      <c r="I23" s="17" t="s">
        <v>121</v>
      </c>
      <c r="J23" s="17"/>
      <c r="K23" s="1" t="s">
        <v>245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>
      <c r="A24" s="16">
        <v>22.0</v>
      </c>
      <c r="B24" s="17" t="s">
        <v>250</v>
      </c>
      <c r="C24" s="16">
        <v>6.281225376124E12</v>
      </c>
      <c r="D24" s="17" t="s">
        <v>63</v>
      </c>
      <c r="E24" s="17" t="s">
        <v>115</v>
      </c>
      <c r="F24" s="26" t="s">
        <v>19</v>
      </c>
      <c r="G24" s="45">
        <v>46241.0</v>
      </c>
      <c r="H24" s="17" t="s">
        <v>252</v>
      </c>
      <c r="I24" s="26" t="s">
        <v>35</v>
      </c>
      <c r="J24" s="26" t="s">
        <v>35</v>
      </c>
      <c r="K24" s="1" t="s">
        <v>255</v>
      </c>
      <c r="L24" s="53" t="s">
        <v>256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>
      <c r="A25" s="16">
        <v>23.0</v>
      </c>
      <c r="B25" s="55" t="s">
        <v>261</v>
      </c>
      <c r="C25" s="56">
        <f>6285602802445</f>
        <v>6285602802445</v>
      </c>
      <c r="D25" s="55" t="s">
        <v>20</v>
      </c>
      <c r="E25" s="42" t="s">
        <v>55</v>
      </c>
      <c r="F25" s="42" t="s">
        <v>94</v>
      </c>
      <c r="G25" s="58">
        <v>46245.0</v>
      </c>
      <c r="H25" s="42" t="s">
        <v>271</v>
      </c>
      <c r="I25" s="42" t="s">
        <v>35</v>
      </c>
      <c r="J25" s="17"/>
      <c r="K25" s="17" t="s">
        <v>273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>
      <c r="A26" s="16">
        <v>24.0</v>
      </c>
      <c r="B26" s="42" t="s">
        <v>276</v>
      </c>
      <c r="C26" s="1" t="s">
        <v>277</v>
      </c>
      <c r="D26" s="17" t="s">
        <v>278</v>
      </c>
      <c r="E26" s="17" t="s">
        <v>280</v>
      </c>
      <c r="F26" s="17" t="s">
        <v>32</v>
      </c>
      <c r="G26" s="51">
        <v>46244.0</v>
      </c>
      <c r="H26" s="17"/>
      <c r="I26" s="17" t="s">
        <v>121</v>
      </c>
      <c r="J26" s="17"/>
      <c r="K26" s="1" t="s">
        <v>281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>
      <c r="A27" s="16">
        <v>25.0</v>
      </c>
      <c r="B27" s="17" t="s">
        <v>286</v>
      </c>
      <c r="C27" s="16">
        <v>8.2225582528E10</v>
      </c>
      <c r="D27" s="17" t="s">
        <v>20</v>
      </c>
      <c r="E27" s="17" t="s">
        <v>26</v>
      </c>
      <c r="F27" s="17" t="s">
        <v>68</v>
      </c>
      <c r="G27" s="51">
        <v>46245.0</v>
      </c>
      <c r="H27" s="17" t="s">
        <v>252</v>
      </c>
      <c r="I27" s="17"/>
      <c r="J27" s="17"/>
      <c r="K27" s="1" t="s">
        <v>289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>
      <c r="A28" s="16">
        <v>26.0</v>
      </c>
      <c r="B28" s="59" t="s">
        <v>293</v>
      </c>
      <c r="C28" s="17" t="s">
        <v>294</v>
      </c>
      <c r="D28" s="17" t="s">
        <v>20</v>
      </c>
      <c r="E28" s="17" t="s">
        <v>26</v>
      </c>
      <c r="F28" s="17" t="s">
        <v>68</v>
      </c>
      <c r="G28" s="60">
        <v>46245.0</v>
      </c>
      <c r="H28" s="61">
        <v>46310.0</v>
      </c>
      <c r="I28" s="17" t="s">
        <v>35</v>
      </c>
      <c r="J28" s="17" t="s">
        <v>35</v>
      </c>
      <c r="K28" s="29">
        <v>46253.0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>
      <c r="A29" s="16">
        <v>27.0</v>
      </c>
      <c r="B29" s="62" t="s">
        <v>82</v>
      </c>
      <c r="C29" s="63">
        <v>8.1398848805E10</v>
      </c>
      <c r="D29" s="17" t="s">
        <v>72</v>
      </c>
      <c r="E29" s="17" t="s">
        <v>302</v>
      </c>
      <c r="F29" s="17" t="s">
        <v>32</v>
      </c>
      <c r="G29" s="60">
        <v>46245.0</v>
      </c>
      <c r="H29" s="17" t="s">
        <v>303</v>
      </c>
      <c r="I29" s="17" t="s">
        <v>35</v>
      </c>
      <c r="J29" s="17"/>
      <c r="K29" s="1" t="s">
        <v>304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>
      <c r="A30" s="16">
        <v>28.0</v>
      </c>
      <c r="B30" s="17" t="s">
        <v>84</v>
      </c>
      <c r="C30" s="16">
        <v>8.5816331415E10</v>
      </c>
      <c r="D30" s="17" t="s">
        <v>310</v>
      </c>
      <c r="E30" s="17" t="s">
        <v>311</v>
      </c>
      <c r="F30" s="26" t="s">
        <v>19</v>
      </c>
      <c r="G30" s="60">
        <v>46245.0</v>
      </c>
      <c r="H30" s="17" t="s">
        <v>312</v>
      </c>
      <c r="I30" s="26" t="s">
        <v>35</v>
      </c>
      <c r="J30" s="26" t="s">
        <v>35</v>
      </c>
      <c r="K30" s="53" t="s">
        <v>315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>
      <c r="A31" s="16">
        <v>29.0</v>
      </c>
      <c r="B31" s="17" t="s">
        <v>88</v>
      </c>
      <c r="C31" s="50">
        <v>6.281215032941E12</v>
      </c>
      <c r="D31" s="17" t="s">
        <v>114</v>
      </c>
      <c r="E31" s="17" t="s">
        <v>280</v>
      </c>
      <c r="F31" s="26" t="s">
        <v>19</v>
      </c>
      <c r="G31" s="60">
        <v>46252.0</v>
      </c>
      <c r="H31" s="17" t="s">
        <v>99</v>
      </c>
      <c r="I31" s="26" t="s">
        <v>35</v>
      </c>
      <c r="J31" s="26" t="s">
        <v>35</v>
      </c>
      <c r="K31" s="65">
        <v>46258.0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>
      <c r="A32" s="16">
        <v>30.0</v>
      </c>
      <c r="B32" s="67" t="s">
        <v>90</v>
      </c>
      <c r="C32" s="28">
        <f>+62895378938357</f>
        <v>62895378938357</v>
      </c>
      <c r="D32" s="17" t="s">
        <v>72</v>
      </c>
      <c r="E32" s="26" t="s">
        <v>330</v>
      </c>
      <c r="F32" s="26" t="s">
        <v>19</v>
      </c>
      <c r="G32" s="74">
        <v>46253.0</v>
      </c>
      <c r="H32" s="26" t="s">
        <v>173</v>
      </c>
      <c r="I32" s="26" t="s">
        <v>35</v>
      </c>
      <c r="J32" s="17"/>
      <c r="K32" s="78" t="s">
        <v>332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>
      <c r="A33" s="16">
        <v>31.0</v>
      </c>
      <c r="B33" s="67" t="s">
        <v>336</v>
      </c>
      <c r="C33" s="28">
        <f>+628111669859</f>
        <v>628111669859</v>
      </c>
      <c r="D33" s="17" t="s">
        <v>72</v>
      </c>
      <c r="E33" s="26" t="s">
        <v>330</v>
      </c>
      <c r="F33" s="26" t="s">
        <v>339</v>
      </c>
      <c r="G33" s="80">
        <v>46253.0</v>
      </c>
      <c r="H33" s="26" t="s">
        <v>340</v>
      </c>
      <c r="I33" s="26" t="s">
        <v>341</v>
      </c>
      <c r="J33" s="17"/>
      <c r="K33" s="83">
        <v>46260.0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>
      <c r="A34" s="16">
        <v>32.0</v>
      </c>
      <c r="B34" s="67" t="s">
        <v>92</v>
      </c>
      <c r="C34" s="24">
        <v>8.5601256217E10</v>
      </c>
      <c r="D34" s="17" t="s">
        <v>72</v>
      </c>
      <c r="E34" s="26" t="s">
        <v>330</v>
      </c>
      <c r="F34" s="17" t="s">
        <v>68</v>
      </c>
      <c r="G34" s="74">
        <v>46253.0</v>
      </c>
      <c r="H34" s="26" t="s">
        <v>347</v>
      </c>
      <c r="I34" s="26" t="s">
        <v>35</v>
      </c>
      <c r="J34" s="17"/>
      <c r="K34" s="78" t="s">
        <v>348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>
      <c r="A35" s="16">
        <v>33.0</v>
      </c>
      <c r="B35" s="84" t="s">
        <v>350</v>
      </c>
      <c r="C35" s="24">
        <v>8.5786538472E10</v>
      </c>
      <c r="D35" s="17" t="s">
        <v>72</v>
      </c>
      <c r="E35" s="30" t="s">
        <v>174</v>
      </c>
      <c r="F35" s="26" t="s">
        <v>32</v>
      </c>
      <c r="G35" s="80">
        <v>46253.0</v>
      </c>
      <c r="H35" s="26" t="s">
        <v>351</v>
      </c>
      <c r="I35" s="26" t="s">
        <v>35</v>
      </c>
      <c r="J35" s="17"/>
      <c r="K35" s="53" t="s">
        <v>352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>
      <c r="A36" s="16">
        <v>34.0</v>
      </c>
      <c r="B36" s="84" t="s">
        <v>356</v>
      </c>
      <c r="C36" s="85">
        <f>+628112886882</f>
        <v>628112886882</v>
      </c>
      <c r="D36" s="17" t="s">
        <v>72</v>
      </c>
      <c r="E36" s="26" t="s">
        <v>55</v>
      </c>
      <c r="F36" s="26" t="s">
        <v>359</v>
      </c>
      <c r="G36" s="74">
        <v>46253.0</v>
      </c>
      <c r="H36" s="26" t="s">
        <v>360</v>
      </c>
      <c r="I36" s="17"/>
      <c r="J36" s="17"/>
      <c r="K36" s="53" t="s">
        <v>361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>
      <c r="A37" s="16">
        <v>35.0</v>
      </c>
      <c r="B37" s="34" t="s">
        <v>362</v>
      </c>
      <c r="C37" s="88">
        <v>8.2329657862E10</v>
      </c>
      <c r="D37" s="34" t="s">
        <v>54</v>
      </c>
      <c r="E37" s="34" t="s">
        <v>365</v>
      </c>
      <c r="F37" s="34" t="s">
        <v>366</v>
      </c>
      <c r="G37" s="90">
        <v>46253.0</v>
      </c>
      <c r="H37" s="34" t="s">
        <v>367</v>
      </c>
      <c r="I37" s="26" t="s">
        <v>35</v>
      </c>
      <c r="J37" s="17"/>
      <c r="K37" s="53" t="s">
        <v>369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>
      <c r="A38" s="16">
        <v>36.0</v>
      </c>
      <c r="B38" s="26"/>
      <c r="C38" s="17"/>
      <c r="D38" s="17"/>
      <c r="E38" s="17"/>
      <c r="F38" s="26" t="s">
        <v>371</v>
      </c>
      <c r="G38" s="41"/>
      <c r="H38" s="17"/>
      <c r="I38" s="17"/>
      <c r="J38" s="17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>
      <c r="A39" s="16">
        <v>37.0</v>
      </c>
      <c r="B39" s="17"/>
      <c r="C39" s="17"/>
      <c r="D39" s="17"/>
      <c r="E39" s="17"/>
      <c r="F39" s="26" t="s">
        <v>371</v>
      </c>
      <c r="G39" s="41"/>
      <c r="H39" s="17"/>
      <c r="I39" s="17"/>
      <c r="J39" s="17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>
      <c r="A40" s="16">
        <v>38.0</v>
      </c>
      <c r="B40" s="17"/>
      <c r="C40" s="17"/>
      <c r="D40" s="17"/>
      <c r="E40" s="17"/>
      <c r="F40" s="17"/>
      <c r="G40" s="17"/>
      <c r="H40" s="17"/>
      <c r="I40" s="17"/>
      <c r="J40" s="17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>
      <c r="A41" s="16">
        <v>39.0</v>
      </c>
      <c r="B41" s="17"/>
      <c r="C41" s="17"/>
      <c r="D41" s="17"/>
      <c r="E41" s="17"/>
      <c r="F41" s="17"/>
      <c r="G41" s="17"/>
      <c r="H41" s="17"/>
      <c r="I41" s="17"/>
      <c r="J41" s="17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>
      <c r="A42" s="16">
        <v>40.0</v>
      </c>
      <c r="B42" s="17"/>
      <c r="C42" s="17"/>
      <c r="D42" s="17"/>
      <c r="E42" s="17"/>
      <c r="F42" s="17"/>
      <c r="G42" s="17"/>
      <c r="H42" s="17"/>
      <c r="I42" s="17"/>
      <c r="J42" s="17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>
      <c r="A43" s="16">
        <v>41.0</v>
      </c>
      <c r="B43" s="17"/>
      <c r="C43" s="17"/>
      <c r="D43" s="17"/>
      <c r="E43" s="17"/>
      <c r="F43" s="17"/>
      <c r="G43" s="17"/>
      <c r="H43" s="17"/>
      <c r="I43" s="17"/>
      <c r="J43" s="17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>
      <c r="A44" s="16">
        <v>42.0</v>
      </c>
      <c r="B44" s="17"/>
      <c r="C44" s="17"/>
      <c r="D44" s="17"/>
      <c r="E44" s="17"/>
      <c r="F44" s="17"/>
      <c r="G44" s="17"/>
      <c r="H44" s="17"/>
      <c r="I44" s="17"/>
      <c r="J44" s="17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>
      <c r="A45" s="16">
        <v>43.0</v>
      </c>
      <c r="B45" s="17"/>
      <c r="C45" s="17"/>
      <c r="D45" s="17"/>
      <c r="E45" s="17"/>
      <c r="F45" s="17"/>
      <c r="G45" s="17"/>
      <c r="H45" s="17"/>
      <c r="I45" s="17"/>
      <c r="J45" s="17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>
      <c r="A46" s="16">
        <v>44.0</v>
      </c>
      <c r="B46" s="17"/>
      <c r="C46" s="17"/>
      <c r="D46" s="17"/>
      <c r="E46" s="17"/>
      <c r="F46" s="17"/>
      <c r="G46" s="17"/>
      <c r="H46" s="17"/>
      <c r="I46" s="17"/>
      <c r="J46" s="17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>
      <c r="A47" s="16">
        <v>45.0</v>
      </c>
      <c r="B47" s="17"/>
      <c r="C47" s="17"/>
      <c r="D47" s="17"/>
      <c r="E47" s="17"/>
      <c r="F47" s="17"/>
      <c r="G47" s="17"/>
      <c r="H47" s="17"/>
      <c r="I47" s="17"/>
      <c r="J47" s="17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>
      <c r="A48" s="16">
        <v>46.0</v>
      </c>
      <c r="B48" s="17"/>
      <c r="C48" s="17"/>
      <c r="D48" s="17"/>
      <c r="E48" s="17"/>
      <c r="F48" s="17"/>
      <c r="G48" s="17"/>
      <c r="H48" s="17"/>
      <c r="I48" s="17"/>
      <c r="J48" s="17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>
      <c r="A49" s="16">
        <v>47.0</v>
      </c>
      <c r="B49" s="17"/>
      <c r="C49" s="17"/>
      <c r="D49" s="17"/>
      <c r="E49" s="17"/>
      <c r="F49" s="17"/>
      <c r="G49" s="17"/>
      <c r="H49" s="17"/>
      <c r="I49" s="17"/>
      <c r="J49" s="17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>
      <c r="A50" s="16">
        <v>48.0</v>
      </c>
      <c r="B50" s="17"/>
      <c r="C50" s="17"/>
      <c r="D50" s="17"/>
      <c r="E50" s="17"/>
      <c r="F50" s="17"/>
      <c r="G50" s="17"/>
      <c r="H50" s="17"/>
      <c r="I50" s="17"/>
      <c r="J50" s="17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>
      <c r="A51" s="16">
        <v>49.0</v>
      </c>
      <c r="B51" s="17"/>
      <c r="C51" s="17"/>
      <c r="D51" s="17"/>
      <c r="E51" s="17"/>
      <c r="F51" s="17"/>
      <c r="G51" s="17"/>
      <c r="H51" s="17"/>
      <c r="I51" s="17"/>
      <c r="J51" s="17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>
      <c r="A52" s="16">
        <v>50.0</v>
      </c>
      <c r="B52" s="17"/>
      <c r="C52" s="17"/>
      <c r="D52" s="17"/>
      <c r="E52" s="17"/>
      <c r="F52" s="17"/>
      <c r="G52" s="17"/>
      <c r="H52" s="17"/>
      <c r="I52" s="17"/>
      <c r="J52" s="17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>
      <c r="A53" s="16">
        <v>51.0</v>
      </c>
      <c r="B53" s="17"/>
      <c r="C53" s="17"/>
      <c r="D53" s="17"/>
      <c r="E53" s="17"/>
      <c r="F53" s="17"/>
      <c r="G53" s="17"/>
      <c r="H53" s="17"/>
      <c r="I53" s="17"/>
      <c r="J53" s="17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>
      <c r="A54" s="16">
        <v>52.0</v>
      </c>
      <c r="B54" s="17"/>
      <c r="C54" s="17"/>
      <c r="D54" s="17"/>
      <c r="E54" s="17"/>
      <c r="F54" s="17"/>
      <c r="G54" s="17"/>
      <c r="H54" s="17"/>
      <c r="I54" s="17"/>
      <c r="J54" s="17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>
      <c r="A55" s="16">
        <v>53.0</v>
      </c>
      <c r="B55" s="17"/>
      <c r="C55" s="17"/>
      <c r="D55" s="17"/>
      <c r="E55" s="17"/>
      <c r="F55" s="17"/>
      <c r="G55" s="17"/>
      <c r="H55" s="17"/>
      <c r="I55" s="17"/>
      <c r="J55" s="17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>
      <c r="A56" s="16">
        <v>54.0</v>
      </c>
      <c r="B56" s="17"/>
      <c r="C56" s="17"/>
      <c r="D56" s="17"/>
      <c r="E56" s="17"/>
      <c r="F56" s="17"/>
      <c r="G56" s="17"/>
      <c r="H56" s="17"/>
      <c r="I56" s="17"/>
      <c r="J56" s="17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>
      <c r="A57" s="16">
        <v>55.0</v>
      </c>
      <c r="B57" s="17"/>
      <c r="C57" s="17"/>
      <c r="D57" s="17"/>
      <c r="E57" s="17"/>
      <c r="F57" s="17"/>
      <c r="G57" s="17"/>
      <c r="H57" s="17"/>
      <c r="I57" s="17"/>
      <c r="J57" s="17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>
      <c r="A58" s="16">
        <v>56.0</v>
      </c>
      <c r="B58" s="17"/>
      <c r="C58" s="17"/>
      <c r="D58" s="17"/>
      <c r="E58" s="17"/>
      <c r="F58" s="17"/>
      <c r="G58" s="17"/>
      <c r="H58" s="17"/>
      <c r="I58" s="17"/>
      <c r="J58" s="17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>
      <c r="A59" s="16">
        <v>57.0</v>
      </c>
      <c r="B59" s="17"/>
      <c r="C59" s="17"/>
      <c r="D59" s="17"/>
      <c r="E59" s="17"/>
      <c r="F59" s="17"/>
      <c r="G59" s="17"/>
      <c r="H59" s="17"/>
      <c r="I59" s="17"/>
      <c r="J59" s="17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>
      <c r="A60" s="16">
        <v>58.0</v>
      </c>
      <c r="B60" s="17"/>
      <c r="C60" s="17"/>
      <c r="D60" s="17"/>
      <c r="E60" s="17"/>
      <c r="F60" s="17"/>
      <c r="G60" s="17"/>
      <c r="H60" s="17"/>
      <c r="I60" s="17"/>
      <c r="J60" s="17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>
      <c r="A61" s="16">
        <v>59.0</v>
      </c>
      <c r="B61" s="17"/>
      <c r="C61" s="17"/>
      <c r="D61" s="17"/>
      <c r="E61" s="17"/>
      <c r="F61" s="17"/>
      <c r="G61" s="17"/>
      <c r="H61" s="17"/>
      <c r="I61" s="17"/>
      <c r="J61" s="17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>
      <c r="A62" s="16">
        <v>60.0</v>
      </c>
      <c r="B62" s="17"/>
      <c r="C62" s="17"/>
      <c r="D62" s="17"/>
      <c r="E62" s="17"/>
      <c r="F62" s="17"/>
      <c r="G62" s="17"/>
      <c r="H62" s="17"/>
      <c r="I62" s="17"/>
      <c r="J62" s="17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>
      <c r="A63" s="16">
        <v>61.0</v>
      </c>
      <c r="B63" s="17"/>
      <c r="C63" s="17"/>
      <c r="D63" s="17"/>
      <c r="E63" s="17"/>
      <c r="F63" s="17"/>
      <c r="G63" s="17"/>
      <c r="H63" s="17"/>
      <c r="I63" s="17"/>
      <c r="J63" s="17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>
      <c r="A64" s="16">
        <v>62.0</v>
      </c>
      <c r="B64" s="17"/>
      <c r="C64" s="17"/>
      <c r="D64" s="17"/>
      <c r="E64" s="17"/>
      <c r="F64" s="17"/>
      <c r="G64" s="17"/>
      <c r="H64" s="17"/>
      <c r="I64" s="17"/>
      <c r="J64" s="17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>
      <c r="A65" s="16">
        <v>63.0</v>
      </c>
      <c r="B65" s="17"/>
      <c r="C65" s="17"/>
      <c r="D65" s="17"/>
      <c r="E65" s="17"/>
      <c r="F65" s="17"/>
      <c r="G65" s="17"/>
      <c r="H65" s="17"/>
      <c r="I65" s="17"/>
      <c r="J65" s="17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>
      <c r="A66" s="16">
        <v>64.0</v>
      </c>
      <c r="B66" s="17"/>
      <c r="C66" s="17"/>
      <c r="D66" s="17"/>
      <c r="E66" s="17"/>
      <c r="F66" s="17"/>
      <c r="G66" s="17"/>
      <c r="H66" s="17"/>
      <c r="I66" s="17"/>
      <c r="J66" s="17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>
      <c r="A67" s="16">
        <v>65.0</v>
      </c>
      <c r="B67" s="17"/>
      <c r="C67" s="17"/>
      <c r="D67" s="17"/>
      <c r="E67" s="17"/>
      <c r="F67" s="17"/>
      <c r="G67" s="17"/>
      <c r="H67" s="17"/>
      <c r="I67" s="17"/>
      <c r="J67" s="17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>
      <c r="A68" s="16">
        <v>66.0</v>
      </c>
      <c r="B68" s="17"/>
      <c r="C68" s="17"/>
      <c r="D68" s="17"/>
      <c r="E68" s="17"/>
      <c r="F68" s="17"/>
      <c r="G68" s="17"/>
      <c r="H68" s="17"/>
      <c r="I68" s="17"/>
      <c r="J68" s="17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>
      <c r="A69" s="16">
        <v>67.0</v>
      </c>
      <c r="B69" s="17"/>
      <c r="C69" s="17"/>
      <c r="D69" s="17"/>
      <c r="E69" s="17"/>
      <c r="F69" s="17"/>
      <c r="G69" s="17"/>
      <c r="H69" s="17"/>
      <c r="I69" s="17"/>
      <c r="J69" s="17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>
      <c r="A70" s="16">
        <v>68.0</v>
      </c>
      <c r="B70" s="17"/>
      <c r="C70" s="17"/>
      <c r="D70" s="17"/>
      <c r="E70" s="17"/>
      <c r="F70" s="17"/>
      <c r="G70" s="17"/>
      <c r="H70" s="17"/>
      <c r="I70" s="17"/>
      <c r="J70" s="17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</sheetData>
  <dataValidations>
    <dataValidation type="list" allowBlank="1" showErrorMessage="1" sqref="J3:J71">
      <formula1>"Lolos,Tidak Lolos"</formula1>
    </dataValidation>
    <dataValidation type="list" allowBlank="1" showErrorMessage="1" sqref="I3:I71">
      <formula1>"Lolos,Tidak Lolos,Netral"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75"/>
    <col customWidth="1" min="4" max="4" width="91.25"/>
    <col customWidth="1" min="5" max="5" width="19.38"/>
    <col customWidth="1" min="6" max="6" width="19.1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52" t="s">
        <v>254</v>
      </c>
      <c r="B2" s="54" t="s">
        <v>258</v>
      </c>
      <c r="C2" s="54" t="s">
        <v>259</v>
      </c>
      <c r="D2" s="17"/>
      <c r="E2" s="16" t="s">
        <v>0</v>
      </c>
      <c r="F2" s="16" t="s">
        <v>262</v>
      </c>
      <c r="G2" s="16" t="s">
        <v>263</v>
      </c>
      <c r="H2" s="16" t="s">
        <v>264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57">
        <v>1.0</v>
      </c>
      <c r="B3" s="17" t="s">
        <v>270</v>
      </c>
      <c r="C3" s="64" t="s">
        <v>272</v>
      </c>
      <c r="D3" s="17"/>
      <c r="E3" s="16">
        <v>1.0</v>
      </c>
      <c r="F3" s="17" t="s">
        <v>305</v>
      </c>
      <c r="G3" s="17" t="s">
        <v>306</v>
      </c>
      <c r="H3" s="17" t="s">
        <v>307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57">
        <v>2.0</v>
      </c>
      <c r="B4" s="17" t="s">
        <v>313</v>
      </c>
      <c r="C4" s="64" t="s">
        <v>314</v>
      </c>
      <c r="D4" s="17"/>
      <c r="E4" s="16">
        <v>2.0</v>
      </c>
      <c r="F4" s="17" t="s">
        <v>323</v>
      </c>
      <c r="G4" s="17" t="s">
        <v>324</v>
      </c>
      <c r="H4" s="17" t="s">
        <v>325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57">
        <v>3.0</v>
      </c>
      <c r="B5" s="17" t="s">
        <v>326</v>
      </c>
      <c r="C5" s="64" t="s">
        <v>327</v>
      </c>
      <c r="D5" s="17"/>
      <c r="E5" s="75">
        <v>3.0</v>
      </c>
      <c r="F5" s="77" t="s">
        <v>331</v>
      </c>
      <c r="G5" s="77" t="s">
        <v>333</v>
      </c>
      <c r="H5" s="77" t="s">
        <v>334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57">
        <v>4.0</v>
      </c>
      <c r="B6" s="17" t="s">
        <v>337</v>
      </c>
      <c r="C6" s="64" t="s">
        <v>338</v>
      </c>
      <c r="D6" s="17"/>
      <c r="E6" s="82"/>
      <c r="F6" s="82"/>
      <c r="G6" s="82"/>
      <c r="H6" s="82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57">
        <v>5.0</v>
      </c>
      <c r="B7" s="17" t="s">
        <v>345</v>
      </c>
      <c r="C7" s="64" t="s">
        <v>346</v>
      </c>
      <c r="D7" s="17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57">
        <v>6.0</v>
      </c>
      <c r="B8" s="17" t="s">
        <v>354</v>
      </c>
      <c r="C8" s="64" t="s">
        <v>355</v>
      </c>
      <c r="D8" s="17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57">
        <v>7.0</v>
      </c>
      <c r="B9" s="17" t="s">
        <v>363</v>
      </c>
      <c r="C9" s="64" t="s">
        <v>364</v>
      </c>
      <c r="D9" s="17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6">
        <v>8.0</v>
      </c>
      <c r="B10" s="17"/>
      <c r="C10" s="17"/>
      <c r="D10" s="17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6" t="s">
        <v>372</v>
      </c>
      <c r="B13" s="16" t="s">
        <v>1</v>
      </c>
      <c r="C13" s="16" t="s">
        <v>373</v>
      </c>
      <c r="D13" s="92" t="s">
        <v>374</v>
      </c>
      <c r="E13" s="16" t="s">
        <v>375</v>
      </c>
      <c r="F13" s="16" t="s">
        <v>17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6">
        <v>1.0</v>
      </c>
      <c r="B14" s="17" t="s">
        <v>376</v>
      </c>
      <c r="C14" s="17"/>
      <c r="D14" s="93" t="s">
        <v>377</v>
      </c>
      <c r="E14" s="5" t="s">
        <v>378</v>
      </c>
      <c r="F14" s="17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6">
        <v>2.0</v>
      </c>
      <c r="B15" s="17" t="s">
        <v>379</v>
      </c>
      <c r="C15" s="17"/>
      <c r="D15" s="93" t="s">
        <v>380</v>
      </c>
      <c r="E15" s="16" t="s">
        <v>381</v>
      </c>
      <c r="F15" s="17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6">
        <v>3.0</v>
      </c>
      <c r="B16" s="17" t="s">
        <v>382</v>
      </c>
      <c r="C16" s="17"/>
      <c r="D16" s="93" t="s">
        <v>383</v>
      </c>
      <c r="E16" s="5" t="s">
        <v>378</v>
      </c>
      <c r="F16" s="17" t="s">
        <v>384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6">
        <v>4.0</v>
      </c>
      <c r="B17" s="17" t="s">
        <v>385</v>
      </c>
      <c r="C17" s="17"/>
      <c r="D17" s="93" t="s">
        <v>386</v>
      </c>
      <c r="E17" s="16" t="s">
        <v>387</v>
      </c>
      <c r="F17" s="17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6">
        <v>5.0</v>
      </c>
      <c r="B18" s="17" t="s">
        <v>388</v>
      </c>
      <c r="C18" s="17"/>
      <c r="D18" s="93" t="s">
        <v>389</v>
      </c>
      <c r="E18" s="16" t="s">
        <v>390</v>
      </c>
      <c r="F18" s="17" t="s">
        <v>391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6">
        <v>6.0</v>
      </c>
      <c r="B19" s="17" t="s">
        <v>392</v>
      </c>
      <c r="C19" s="17"/>
      <c r="D19" s="93" t="s">
        <v>393</v>
      </c>
      <c r="E19" s="16" t="s">
        <v>394</v>
      </c>
      <c r="F19" s="17" t="s">
        <v>395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6">
        <v>7.0</v>
      </c>
      <c r="B20" s="17" t="s">
        <v>396</v>
      </c>
      <c r="C20" s="17"/>
      <c r="D20" s="93" t="s">
        <v>397</v>
      </c>
      <c r="E20" s="94" t="s">
        <v>398</v>
      </c>
      <c r="F20" s="17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6">
        <v>8.0</v>
      </c>
      <c r="B21" s="17" t="s">
        <v>399</v>
      </c>
      <c r="C21" s="17"/>
      <c r="D21" s="93" t="s">
        <v>400</v>
      </c>
      <c r="E21" s="16" t="s">
        <v>401</v>
      </c>
      <c r="F21" s="17" t="s">
        <v>395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6">
        <v>9.0</v>
      </c>
      <c r="B22" s="17" t="s">
        <v>402</v>
      </c>
      <c r="C22" s="17"/>
      <c r="D22" s="93" t="s">
        <v>403</v>
      </c>
      <c r="E22" s="5" t="s">
        <v>378</v>
      </c>
      <c r="F22" s="17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6">
        <v>10.0</v>
      </c>
      <c r="B23" s="17" t="s">
        <v>404</v>
      </c>
      <c r="C23" s="17"/>
      <c r="D23" s="93" t="s">
        <v>405</v>
      </c>
      <c r="E23" s="17"/>
      <c r="F23" s="17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6">
        <v>11.0</v>
      </c>
      <c r="B24" s="17" t="s">
        <v>406</v>
      </c>
      <c r="C24" s="17"/>
      <c r="D24" s="17" t="s">
        <v>407</v>
      </c>
      <c r="E24" s="16" t="s">
        <v>408</v>
      </c>
      <c r="F24" s="17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6">
        <v>12.0</v>
      </c>
      <c r="B25" s="17" t="s">
        <v>409</v>
      </c>
      <c r="C25" s="17"/>
      <c r="D25" s="17" t="s">
        <v>410</v>
      </c>
      <c r="E25" s="16" t="s">
        <v>411</v>
      </c>
      <c r="F25" s="17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6">
        <v>13.0</v>
      </c>
      <c r="B26" s="17" t="s">
        <v>412</v>
      </c>
      <c r="C26" s="17"/>
      <c r="D26" s="17" t="s">
        <v>413</v>
      </c>
      <c r="E26" s="16" t="s">
        <v>32</v>
      </c>
      <c r="F26" s="17" t="s">
        <v>414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6">
        <v>14.0</v>
      </c>
      <c r="B27" s="17"/>
      <c r="C27" s="17"/>
      <c r="D27" s="17"/>
      <c r="E27" s="17"/>
      <c r="F27" s="17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6">
        <v>15.0</v>
      </c>
      <c r="B28" s="17"/>
      <c r="C28" s="17"/>
      <c r="D28" s="17"/>
      <c r="E28" s="17"/>
      <c r="F28" s="17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6">
        <v>16.0</v>
      </c>
      <c r="B29" s="17"/>
      <c r="C29" s="17"/>
      <c r="D29" s="17"/>
      <c r="E29" s="17"/>
      <c r="F29" s="17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53" t="s">
        <v>415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53" t="s">
        <v>416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53" t="s">
        <v>417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53" t="s">
        <v>418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hyperlinks>
    <hyperlink r:id="rId1" ref="C3"/>
    <hyperlink r:id="rId2" ref="C4"/>
    <hyperlink r:id="rId3" ref="C5"/>
    <hyperlink r:id="rId4" location="gid=143457365" ref="C6"/>
    <hyperlink r:id="rId5" ref="C7"/>
    <hyperlink r:id="rId6" ref="C8"/>
    <hyperlink r:id="rId7" ref="C9"/>
  </hyperlinks>
  <drawing r:id="rId8"/>
</worksheet>
</file>